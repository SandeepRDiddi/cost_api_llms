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andeepdiddi/Library/Application Support/Claude/local-agent-mode-sessions/fc6d3a9e-b78b-4872-8f61-52d23e6a61e3/4ec66ce2-8c1a-41c2-baee-cd2384d0fb3a/local_c0099ef9-0e3d-4856-bb37-6a439360b735/outputs/"/>
    </mc:Choice>
  </mc:AlternateContent>
  <xr:revisionPtr revIDLastSave="0" documentId="13_ncr:1_{CA11FAF4-1FFC-1742-8764-8E7ECA008628}" xr6:coauthVersionLast="47" xr6:coauthVersionMax="47" xr10:uidLastSave="{00000000-0000-0000-0000-000000000000}"/>
  <bookViews>
    <workbookView xWindow="0" yWindow="600" windowWidth="28800" windowHeight="15680" tabRatio="500" activeTab="6" xr2:uid="{00000000-000D-0000-FFFF-FFFF00000000}"/>
  </bookViews>
  <sheets>
    <sheet name="LLM Cost Reference" sheetId="1" r:id="rId1"/>
    <sheet name="Provider Cost Comparison" sheetId="2" r:id="rId2"/>
    <sheet name="Summary" sheetId="3" r:id="rId3"/>
    <sheet name="One-Time Costs" sheetId="4" r:id="rId4"/>
    <sheet name="Recurring Pricing" sheetId="5" r:id="rId5"/>
    <sheet name="Token Savings ROI" sheetId="6" r:id="rId6"/>
    <sheet name="Token Coach Mechanic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3" i="6" l="1"/>
  <c r="C23" i="6"/>
  <c r="D15" i="6"/>
  <c r="D16" i="6" s="1"/>
  <c r="D18" i="6" s="1"/>
  <c r="D26" i="6" s="1"/>
  <c r="C15" i="6"/>
  <c r="C16" i="6" s="1"/>
  <c r="C18" i="6" s="1"/>
  <c r="C26" i="6" s="1"/>
  <c r="D8" i="6"/>
  <c r="C8" i="6"/>
  <c r="E7" i="5"/>
  <c r="D7" i="5"/>
  <c r="C7" i="5"/>
  <c r="D9" i="4"/>
  <c r="C9" i="4"/>
  <c r="C30" i="6" l="1"/>
  <c r="C28" i="6"/>
  <c r="D30" i="6"/>
  <c r="D28" i="6"/>
  <c r="D32" i="6" l="1"/>
  <c r="D29" i="6"/>
  <c r="C32" i="6"/>
  <c r="C29" i="6"/>
</calcChain>
</file>

<file path=xl/sharedStrings.xml><?xml version="1.0" encoding="utf-8"?>
<sst xmlns="http://schemas.openxmlformats.org/spreadsheetml/2006/main" count="548" uniqueCount="306">
  <si>
    <t>LLM Cost Reference  —  All Providers  (Claude · OpenAI · xAI · Google)</t>
  </si>
  <si>
    <t>Source: llm_costs.xlsx, official vendor pricing pages. Fetched: 2026-05-24. USD per 1M tokens.</t>
  </si>
  <si>
    <t xml:space="preserve">  🔵  ANTHROPIC  —  Claude Models</t>
  </si>
  <si>
    <t>Model</t>
  </si>
  <si>
    <t>Family</t>
  </si>
  <si>
    <t>Tier</t>
  </si>
  <si>
    <t>Input $/1M</t>
  </si>
  <si>
    <t>Output $/1M</t>
  </si>
  <si>
    <t>Cache Write</t>
  </si>
  <si>
    <t>Cache Read</t>
  </si>
  <si>
    <t>Blended*</t>
  </si>
  <si>
    <t>Use in Agent Prism</t>
  </si>
  <si>
    <t>Claude Haiku 4.5</t>
  </si>
  <si>
    <t>haiku</t>
  </si>
  <si>
    <t>standard</t>
  </si>
  <si>
    <t>Lightweight checks, token coach monitoring, routing decisions</t>
  </si>
  <si>
    <t>Claude Opus 4.5</t>
  </si>
  <si>
    <t>opus</t>
  </si>
  <si>
    <t>Complex reasoning, long-context analysis</t>
  </si>
  <si>
    <t>Claude Opus 4.6</t>
  </si>
  <si>
    <t>Claude Opus 4.7</t>
  </si>
  <si>
    <t>Claude Opus 4</t>
  </si>
  <si>
    <t>High-stakes tasks requiring maximum capability</t>
  </si>
  <si>
    <t>Claude Opus 4.1</t>
  </si>
  <si>
    <t>Claude Sonnet 4</t>
  </si>
  <si>
    <t>sonnet</t>
  </si>
  <si>
    <t>Agent Prism gateway default (claude-sonnet-4-x)</t>
  </si>
  <si>
    <t>Claude Sonnet 4.5</t>
  </si>
  <si>
    <t>Claude Sonnet 4.6</t>
  </si>
  <si>
    <t xml:space="preserve">  🟡  OPENAI  —  GPT &amp; o-Series Models</t>
  </si>
  <si>
    <t>chat-latest</t>
  </si>
  <si>
    <t>chat</t>
  </si>
  <si>
    <t>specialized-models</t>
  </si>
  <si>
    <t>—</t>
  </si>
  <si>
    <t>Latest chat completions endpoint</t>
  </si>
  <si>
    <t>computer-use-preview</t>
  </si>
  <si>
    <t>computer</t>
  </si>
  <si>
    <t>Computer-use agent tasks</t>
  </si>
  <si>
    <t>gpt-5.4-nano</t>
  </si>
  <si>
    <t>gpt</t>
  </si>
  <si>
    <t>flagship-models-short-context</t>
  </si>
  <si>
    <t>Cheapest GPT; routing, classification, simple completions</t>
  </si>
  <si>
    <t>gpt-5.4-mini</t>
  </si>
  <si>
    <t>Cost-efficient GPT for moderate complexity tasks</t>
  </si>
  <si>
    <t>gpt-5.3-codex</t>
  </si>
  <si>
    <t>Code generation specialist</t>
  </si>
  <si>
    <t>gpt-5.4</t>
  </si>
  <si>
    <t>Flagship GPT balanced cost/capability</t>
  </si>
  <si>
    <t>flagship-models-long-context</t>
  </si>
  <si>
    <t>gpt-5.5</t>
  </si>
  <si>
    <t>GPT next-gen standard tier</t>
  </si>
  <si>
    <t>gpt-5.4-pro</t>
  </si>
  <si>
    <t>Maximum GPT capability — premium tasks</t>
  </si>
  <si>
    <t>gpt-5.5-pro</t>
  </si>
  <si>
    <t>o3-deep-research</t>
  </si>
  <si>
    <t>o3</t>
  </si>
  <si>
    <t>Advanced reasoning &amp; research</t>
  </si>
  <si>
    <t>o4-mini-deep-research</t>
  </si>
  <si>
    <t>o4</t>
  </si>
  <si>
    <t>Deep research tasks</t>
  </si>
  <si>
    <t xml:space="preserve">  🟣  xAI  —  Grok Models</t>
  </si>
  <si>
    <t>grok-build-0.1</t>
  </si>
  <si>
    <t>grok</t>
  </si>
  <si>
    <t>Cheapest Grok; suitable for lightweight tasks</t>
  </si>
  <si>
    <t>grok-4.20-0309-non-reasoning</t>
  </si>
  <si>
    <t>Standard Grok — non-reasoning tasks</t>
  </si>
  <si>
    <t>grok-4.20-0309-reasoning</t>
  </si>
  <si>
    <t>Grok reasoning variant</t>
  </si>
  <si>
    <t>grok-4.20-multi-agent-0309</t>
  </si>
  <si>
    <t>Multi-agent Grok workflows</t>
  </si>
  <si>
    <t>grok-4.3</t>
  </si>
  <si>
    <t>Latest stable Grok release</t>
  </si>
  <si>
    <t xml:space="preserve">  🟢  GOOGLE  —  Gemini Models</t>
  </si>
  <si>
    <t>Gemini 2.0 Flash-Lite</t>
  </si>
  <si>
    <t>2.0</t>
  </si>
  <si>
    <t>Cheapest Gemini ($0.075/1M) — high-volume, simple tasks</t>
  </si>
  <si>
    <t>Gemini 2.0 Flash</t>
  </si>
  <si>
    <t>Ultra-low cost ($0.10–0.70/1M) — routing &amp; classification</t>
  </si>
  <si>
    <t>Gemini 2.5 Flash</t>
  </si>
  <si>
    <t>2.5</t>
  </si>
  <si>
    <t>Best Google value — reasoning + low cost ($0.30/1M text)</t>
  </si>
  <si>
    <t>Gemini 3 Flash Preview</t>
  </si>
  <si>
    <t>3</t>
  </si>
  <si>
    <t>Gemini 3 standard flash tier</t>
  </si>
  <si>
    <t>Gemini 3.1 Flash-Lite</t>
  </si>
  <si>
    <t>3.1</t>
  </si>
  <si>
    <t>Gemini 3.x lightweight; cost-efficient</t>
  </si>
  <si>
    <t>Gemini 3.1 Flash-Lite Preview</t>
  </si>
  <si>
    <t>Gemini 3.5 Flash</t>
  </si>
  <si>
    <t>3.5</t>
  </si>
  <si>
    <t>Latest Gemini flash generation</t>
  </si>
  <si>
    <t>* Blended rate = 70% input + 30% output (typical agent call ratio). Adjust in Token Savings ROI tab. Source: llm_costs.xlsx, 2026-05-24. Standard tier unless noted. Image/TTS/Embedding models excluded.</t>
  </si>
  <si>
    <t>Provider Cost Comparison  —  Why Multi-Provider Governance Matters</t>
  </si>
  <si>
    <t>Agent Prism normalises Control Score across ALL providers. This table shows the cost spread Agent Prism helps you optimise.</t>
  </si>
  <si>
    <t>Vendor</t>
  </si>
  <si>
    <t>Blended* $/1M</t>
  </si>
  <si>
    <t>Agent Prism Insight</t>
  </si>
  <si>
    <t>Google</t>
  </si>
  <si>
    <t>Ultra-cheap routing, classification — 800× cheaper than GPT-5.4-pro</t>
  </si>
  <si>
    <t>High-volume tasks — best Google price point</t>
  </si>
  <si>
    <t>Google's best value for reasoning tasks</t>
  </si>
  <si>
    <t>OpenAI</t>
  </si>
  <si>
    <t>OpenAI cheapest — simple completions &amp; routing</t>
  </si>
  <si>
    <t>OpenAI mid-tier — good balance cost/quality</t>
  </si>
  <si>
    <t>xAI</t>
  </si>
  <si>
    <t>Grok — very competitive output pricing ($2.50/1M)</t>
  </si>
  <si>
    <t>Anthropic</t>
  </si>
  <si>
    <t>Anthropic lightweight — Token Coach monitoring agent</t>
  </si>
  <si>
    <t>Agent Prism default gateway model — best Anthropic value</t>
  </si>
  <si>
    <t>OpenAI flagship — equivalent capability to Claude Sonnet</t>
  </si>
  <si>
    <t>Anthropic high-capability — complex reasoning</t>
  </si>
  <si>
    <t>OpenAI next-gen standard</t>
  </si>
  <si>
    <t>Maximum Claude capability — justify with Control Score</t>
  </si>
  <si>
    <t>Maximum OpenAI — premium tasks only, verify ROI</t>
  </si>
  <si>
    <t>Maximum OpenAI next-gen — premium tasks only</t>
  </si>
  <si>
    <t>★  The Cost Spread Agent Prism Helps You Navigate</t>
  </si>
  <si>
    <t>► Price range across all providers</t>
  </si>
  <si>
    <t>Gemini Flash-Lite $0.075/1M → GPT-5.5-pro $60/1M input = 800× spread. Running the wrong model on the wrong task wastes this entire spread.</t>
  </si>
  <si>
    <t>► What Agent Prism does</t>
  </si>
  <si>
    <t>Control Score benchmarks every agent run — same normalised score across all providers. If Gemini Flash achieves the same score as Claude Sonnet on a task, you're overpaying 30×.</t>
  </si>
  <si>
    <t>► Token Coach Model Right-Sizing</t>
  </si>
  <si>
    <t>Agent Prism surfaces agents using expensive models (Opus/GPT-5.4-pro) for tasks that score identically on cheaper models (Haiku/gpt-5.4-nano). Even 10% of tasks re-routed = large savings.</t>
  </si>
  <si>
    <t>► Provider Benchmarking tab</t>
  </si>
  <si>
    <t>Live comparison of avg Control Score, latency, and cost per provider. Data-driven input for your provider strategy — not vendor marketing.</t>
  </si>
  <si>
    <t>Agent Prism  —  Pricing &amp; ROI Model</t>
  </si>
  <si>
    <t>Control Plane for Enterprise AI Agent Governance  |  NOT for repo — keep in business folder</t>
  </si>
  <si>
    <t>What Does Agent Prism Do?</t>
  </si>
  <si>
    <t>Agent Prism is a SaaS control plane for AI agents running across Claude, OpenAI, Copilot, xAI Grok, Google Gemini, and custom workflows.</t>
  </si>
  <si>
    <t>It normalises every agent run into a Control Score — blending success rate, latency, cost efficiency, autonomy, and guardrails.</t>
  </si>
  <si>
    <t>Token Coach identifies retry waste, context bloat, model over-sizing, and caching opportunities across ALL provider models.</t>
  </si>
  <si>
    <t>With pricing spread from $0.075/1M (Gemini Flash-Lite) to $60/1M (GPT-5.5-pro), even small right-sizing decisions save thousands.</t>
  </si>
  <si>
    <t>Agent Prism helps teams reduce token spend by 25–45% without changing agent behaviour.</t>
  </si>
  <si>
    <t>Pricing Model at a Glance</t>
  </si>
  <si>
    <t>Component</t>
  </si>
  <si>
    <t>Mid-Market</t>
  </si>
  <si>
    <t>Enterprise</t>
  </si>
  <si>
    <t>One-Time Setup Fee</t>
  </si>
  <si>
    <t>$15,000</t>
  </si>
  <si>
    <t>$57,500</t>
  </si>
  <si>
    <t>Monthly SaaS (base)</t>
  </si>
  <si>
    <t>$2,500–$6,500</t>
  </si>
  <si>
    <t>$15,000+</t>
  </si>
  <si>
    <t>Annual SaaS (10% disc.)</t>
  </si>
  <si>
    <t>$27K–$70K</t>
  </si>
  <si>
    <t>$162K+</t>
  </si>
  <si>
    <t>Providers Supported</t>
  </si>
  <si>
    <t>Claude·OpenAI·Copilot</t>
  </si>
  <si>
    <t>+ xAI·Gemini·Custom</t>
  </si>
  <si>
    <t>Tokens Observed / Month</t>
  </si>
  <si>
    <t>Up to 200M</t>
  </si>
  <si>
    <t>Custom volume</t>
  </si>
  <si>
    <t>Est. Monthly Token Savings</t>
  </si>
  <si>
    <t>$5K–$18K</t>
  </si>
  <si>
    <t>$30K–$100K</t>
  </si>
  <si>
    <t>Typical ROI</t>
  </si>
  <si>
    <t>3–6×</t>
  </si>
  <si>
    <t>7–12×</t>
  </si>
  <si>
    <t>Payback Period</t>
  </si>
  <si>
    <t>1–3 months</t>
  </si>
  <si>
    <t>&lt; 2 months</t>
  </si>
  <si>
    <t>Tabs: LLM Cost Reference · Provider Cost Comparison · Summary · One-Time Costs · Recurring Pricing · Token Savings ROI · Token Coach Mechanics</t>
  </si>
  <si>
    <t>One-Time Implementation Cost</t>
  </si>
  <si>
    <t>Charged once at contract signing. Adjust blue cells per deal.</t>
  </si>
  <si>
    <t>Scope</t>
  </si>
  <si>
    <t>Platform Setup &amp; Onboarding</t>
  </si>
  <si>
    <t>Tenant config · connector wiring · dashboard activation · Postgres/file backend · Render/cloud deploy</t>
  </si>
  <si>
    <t>Custom Integrations</t>
  </si>
  <si>
    <t>Mid-mkt: Claude+OpenAI (1–2 providers). Enterprise: Claude+OpenAI+Gemini+xAI+LangChain/CrewAI (3+)</t>
  </si>
  <si>
    <t>Training &amp; Enablement</t>
  </si>
  <si>
    <t>Mid-mkt: 2 sessions (eng + exec). Enterprise: 4 sessions + Token Coach workshop + recorded materials</t>
  </si>
  <si>
    <t>Enterprise Compliance Setup</t>
  </si>
  <si>
    <t>SSO/SAML · RBAC · audit export · SOC 2 evidence packaging  —  Enterprise only</t>
  </si>
  <si>
    <t>TOTAL ONE-TIME FEE</t>
  </si>
  <si>
    <t>Recurring SaaS Pricing</t>
  </si>
  <si>
    <t>Hybrid: flat monthly base + usage overage. Annual = 10% discount.</t>
  </si>
  <si>
    <t>Metric</t>
  </si>
  <si>
    <t>Starter</t>
  </si>
  <si>
    <t>Pro</t>
  </si>
  <si>
    <t>Notes</t>
  </si>
  <si>
    <t>Target Customer</t>
  </si>
  <si>
    <t>5–15 agents
1–3 providers</t>
  </si>
  <si>
    <t>15–50 agents
3–6 providers</t>
  </si>
  <si>
    <t>50+ agents
All providers</t>
  </si>
  <si>
    <t>Monthly Base Fee</t>
  </si>
  <si>
    <t>Flat, billed monthly (blue = adjustable)</t>
  </si>
  <si>
    <t>Annual Base (10% disc.)</t>
  </si>
  <si>
    <t>Formula links to monthly</t>
  </si>
  <si>
    <t>Agents Included</t>
  </si>
  <si>
    <t>Unlimited</t>
  </si>
  <si>
    <t>Active agents reporting telemetry</t>
  </si>
  <si>
    <t>50M</t>
  </si>
  <si>
    <t>200M</t>
  </si>
  <si>
    <t>Custom</t>
  </si>
  <si>
    <t>Via gateway or ingest API</t>
  </si>
  <si>
    <t>Overage (per 1M tokens)</t>
  </si>
  <si>
    <t>$/1M tokens above included volume</t>
  </si>
  <si>
    <t>Claude · OpenAI</t>
  </si>
  <si>
    <t>All 4 vendors</t>
  </si>
  <si>
    <t>All + custom</t>
  </si>
  <si>
    <t>Claude · OpenAI · xAI Grok · Google Gemini · Copilot</t>
  </si>
  <si>
    <t>Token Coach (all 6 mechanisms)</t>
  </si>
  <si>
    <t>✓</t>
  </si>
  <si>
    <t>Retry · bloat · model sizing · caching · leaks · FTE ROI</t>
  </si>
  <si>
    <t>LLM Cost Reference (all vendors)</t>
  </si>
  <si>
    <t>800× price spread surfaced in dashboard</t>
  </si>
  <si>
    <t>Provider Cost Comparison</t>
  </si>
  <si>
    <t>Normalised Control Score across all vendors</t>
  </si>
  <si>
    <t>Cost Leak Radar</t>
  </si>
  <si>
    <t>Budget breach · retry spiral · low-value spend</t>
  </si>
  <si>
    <t>Prompt Cache Advisor</t>
  </si>
  <si>
    <t>Caching opp. — up to 90% saving on Sonnet reads</t>
  </si>
  <si>
    <t>Audit Trail &amp; CSV Export</t>
  </si>
  <si>
    <t>Governance evidence</t>
  </si>
  <si>
    <t>SSO / SAML / OIDC</t>
  </si>
  <si>
    <t>Enterprise identity</t>
  </si>
  <si>
    <t>RBAC</t>
  </si>
  <si>
    <t>Role-based access control</t>
  </si>
  <si>
    <t>SLA</t>
  </si>
  <si>
    <t>99.5%</t>
  </si>
  <si>
    <t>99.9%</t>
  </si>
  <si>
    <t>99.9% + CSM</t>
  </si>
  <si>
    <t>Support</t>
  </si>
  <si>
    <t>Email</t>
  </si>
  <si>
    <t>Priority + Slack</t>
  </si>
  <si>
    <t>Dedicated CSM</t>
  </si>
  <si>
    <t>Blue = adjustable. Annual invoiced upfront. Overage billed monthly in arrears.</t>
  </si>
  <si>
    <t>Token Savings ROI Calculator  —  All Providers</t>
  </si>
  <si>
    <t>Adjust yellow cells. All other cells calculate automatically.</t>
  </si>
  <si>
    <t>Input / Metric</t>
  </si>
  <si>
    <t>► A. CUSTOMER AI SPEND (Multi-Provider)</t>
  </si>
  <si>
    <t>Monthly AI Token Spend — All Providers (USD)</t>
  </si>
  <si>
    <t>Combined Claude+OpenAI+Gemini+Grok+Copilot token spend per month</t>
  </si>
  <si>
    <t>Avg Blended Token Price ($/1M) across your model mix</t>
  </si>
  <si>
    <t>Sonnet default $6/1M. Adjust based on your actual model mix (see LLM Cost Reference tab)</t>
  </si>
  <si>
    <t>Monthly Token Volume (millions)</t>
  </si>
  <si>
    <t>Derived: spend ÷ blended rate</t>
  </si>
  <si>
    <t>► B. TOKEN WASTE IDENTIFIED BY TOKEN COACH  (6 Mechanisms)</t>
  </si>
  <si>
    <t>1. Retry Waste Rate</t>
  </si>
  <si>
    <t>retryCount/(retryCount+1)×tokens per run. Expensive on Opus/GPT-5.x-pro. Typical: 15–20% of spend.</t>
  </si>
  <si>
    <t>2. Context Bloat Rate</t>
  </si>
  <si>
    <t>Input ratio &gt;70% triggers efficiency penalty. Fix: prompt caching. Typical: 10–15% of spend.</t>
  </si>
  <si>
    <t>3. Model Over-sizing Rate</t>
  </si>
  <si>
    <t>Opus $15/1M tasks that score same on Haiku $1/1M. Gemini Flash $0.10 vs GPT-5.4 $5. 30–800× spread.</t>
  </si>
  <si>
    <t>4. Low-Value Workflow Rate</t>
  </si>
  <si>
    <t>detectCostLeaks(): satisfaction≤2 AND cost&gt;$1.50. Or costUsd&gt;budgetUsd. Typical: 3–8% of spend.</t>
  </si>
  <si>
    <t>5. Cross-Provider Mis-routing</t>
  </si>
  <si>
    <t>Tasks on expensive provider that cheaper provider achieves same Control Score on. Unique to multi-provider.</t>
  </si>
  <si>
    <t>Total Waste Rate</t>
  </si>
  <si>
    <t>Sum of all 5 waste categories</t>
  </si>
  <si>
    <t>Total Identifiable Waste (USD/month)</t>
  </si>
  <si>
    <t>Waste rate × monthly AI spend</t>
  </si>
  <si>
    <t>Realistic Capture Rate</t>
  </si>
  <si>
    <t>% of waste Agent Prism can eliminate (conservative estimate)</t>
  </si>
  <si>
    <t>Estimated Monthly Token Savings (USD)</t>
  </si>
  <si>
    <t>Waste USD × capture rate</t>
  </si>
  <si>
    <t>► C. PROMPT CACHING BONUS  (e.g. Sonnet $3 uncached → $0.30 cached = 90% saving)</t>
  </si>
  <si>
    <t>% of Input Tokens Cacheable</t>
  </si>
  <si>
    <t>Repeated system prompts, static context. Higher for multi-agent workflows.</t>
  </si>
  <si>
    <t>Cache Hit Rate</t>
  </si>
  <si>
    <t>Proportion of cacheable calls that actually hit cache</t>
  </si>
  <si>
    <t>Est. Monthly Caching Savings (USD)</t>
  </si>
  <si>
    <t>Spend × cacheable% × hit-rate × 90% rate reduction</t>
  </si>
  <si>
    <t>► D. ROI CALCULATION</t>
  </si>
  <si>
    <t>Total Monthly Savings (USD)</t>
  </si>
  <si>
    <t>Token waste savings + caching bonus</t>
  </si>
  <si>
    <t>Agent Prism Monthly Fee (USD)</t>
  </si>
  <si>
    <t>From Recurring Pricing tab. Match to your tier.</t>
  </si>
  <si>
    <t>Net Monthly Savings (USD)</t>
  </si>
  <si>
    <t>Savings minus Agent Prism fee</t>
  </si>
  <si>
    <t>Net Annual Savings (USD)</t>
  </si>
  <si>
    <t>ROI Multiple</t>
  </si>
  <si>
    <t>Total savings ÷ Agent Prism fee</t>
  </si>
  <si>
    <t>One-Time Setup Fee (USD)</t>
  </si>
  <si>
    <t>From One-Time Costs tab.</t>
  </si>
  <si>
    <t>Payback Period (months)</t>
  </si>
  <si>
    <t>Setup fee ÷ net monthly savings</t>
  </si>
  <si>
    <t>Yellow = adjustable inputs. Prices from LLM Cost Reference tab (llm_costs.xlsx, 2026-05-24). Model right-sizing savings assume 10–15% of tasks re-routed to 5–800× cheaper equivalent-quality models.</t>
  </si>
  <si>
    <t>Token Coach Engine — How Agent Prism Saves Tokens (All 6 Mechanisms)</t>
  </si>
  <si>
    <t>Grounded in: src/store.js · src/scoring.js · src/roi.js · config/pricing.json</t>
  </si>
  <si>
    <t>Mechanism</t>
  </si>
  <si>
    <t>Code (src/)</t>
  </si>
  <si>
    <t>Waste Detected</t>
  </si>
  <si>
    <t>Recommendation + $/Impact</t>
  </si>
  <si>
    <t>1. Retry Waste Detection</t>
  </si>
  <si>
    <t>store.js › buildTokenEfficiency()
retryWaste = retryCount/(retryCount+1)
  × totalTokens per retry run
Aggregated across all runs</t>
  </si>
  <si>
    <t>Tokens burned in re-attempts.
Worst at Opus $15/1M or GPT-5.4-pro $30/1M.
One retry spiral at Opus = $10s.
Typical: 15–20% of spend</t>
  </si>
  <si>
    <t>→ Tighten tool permissions
→ Add checkpoints
→ Reduce autonomyLevel
Impact: eliminates 65%+ of retry cost</t>
  </si>
  <si>
    <t>2. Context Bloat Detection</t>
  </si>
  <si>
    <t>store.js › buildTokenEfficiency()
inputRatio = totalInputTokens
  / totalTokens
Flag: ratio &gt; 0.70 → −25 pts
Flag: ratio &gt; 0.65 → −12 pts</t>
  </si>
  <si>
    <t>Oversized prompts / repeated context.
Sonnet: $3/1M uncached;
Cache read: $0.30/1M (90% saving).
Typical: 10–16% of spend</t>
  </si>
  <si>
    <t>→ 'Reduce repeated context' suggestion
→ Prompt caching opportunity surfaced
→ Input:output ratio shown per agent
Impact: 10–15% spend reduction</t>
  </si>
  <si>
    <t>3. Model Over-Sizing Radar</t>
  </si>
  <si>
    <t>store.js › providerComparison[]
scoring.js › computeControlScore()
Normalises Control Score across
ALL vendors (Claude·GPT·Gemini·Grok).
Flags same-score tasks on costlier model</t>
  </si>
  <si>
    <t>Opus $15/1M tasks scoring same as
Haiku $1/1M = 15× overspend.
Gemini Flash $0.10 vs GPT-5.4 $5 = 50×.
Typical: 10–15% of spend</t>
  </si>
  <si>
    <t>→ Provider comparison table live
→ 'Scale this model' vs 'Watch' signals
→ Right-size recommendation per workflow
Impact: biggest single lever across providers</t>
  </si>
  <si>
    <t>4. Cost Leak Radar</t>
  </si>
  <si>
    <t>store.js › detectCostLeaks()
Flags:
  costUsd &gt; budgetUsd  (breach)
  retryCount ≥ 3 &amp; cost &gt; $1
  satisfaction ≤ 2 &amp; cost &gt; $1.50</t>
  </si>
  <si>
    <t>Runs consuming budget with no value.
Caught before scaling to 100s of agents.
Typical: 3–8% of spend</t>
  </si>
  <si>
    <t>→ Budget guardrails &amp; early stopping
→ Governance dashboard for leadership
→ Audit evidence for enterprise review
Impact: prevent runaway cost at scale</t>
  </si>
  <si>
    <t>store.js › providerComparison[]
Ranks providers by:
  avg Control Score
  avg costUsd
  avg latencyMs
Surfaces cheaper equivalent</t>
  </si>
  <si>
    <t>Tasks routed to expensive provider
when cheaper achieves same score.
Unique value vs single-vendor tools.
Typical: 5–8% of spend</t>
  </si>
  <si>
    <t>→ Provider benchmarking tab
→ Data-driven routing decisions
→ Executive report on provider ROI
Impact: most impactful for Gemini vs Opus decisions</t>
  </si>
  <si>
    <t>6. FTE ROI Tracker</t>
  </si>
  <si>
    <t>roi.js › computeRoi()
completedSessions
  × avg_human_hours (2.0h)
  × loaded_rate_usd ($85/hr)
→ netSavingsUsd, roiMultiplier</t>
  </si>
  <si>
    <t>Proves agent ROI in $ for finance
and leadership.
Default: 2h/task at $85 loaded rate
(adjust in config/pricing.json)</t>
  </si>
  <si>
    <t>→ ROI multiplier in exec dashboard
→ FTE hours saved metric
→ Business case for scaling agents
Impact: closes the CFO conversation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</si>
</sst>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;&quot;($&quot;#,##0.00\);\-"/>
    <numFmt numFmtId="165" formatCode="\$#,##0;&quot;($&quot;#,##0\);\-"/>
    <numFmt numFmtId="166" formatCode="#,##0.0&quot; M&quot;"/>
    <numFmt numFmtId="167" formatCode="0.0%;\(0.0%\);\-"/>
    <numFmt numFmtId="168" formatCode="0.0\×"/>
    <numFmt numFmtId="169" formatCode="0.0&quot; mo&quot;"/>
  </numFmts>
  <fonts count="2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1B2A4A"/>
      <name val="Arial"/>
      <family val="2"/>
    </font>
    <font>
      <i/>
      <sz val="10"/>
      <color rgb="FF6B728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7B5800"/>
      <name val="Arial"/>
      <family val="2"/>
    </font>
    <font>
      <sz val="10"/>
      <color rgb="FF6B7280"/>
      <name val="Arial"/>
      <family val="2"/>
    </font>
    <font>
      <b/>
      <sz val="10"/>
      <color rgb="FF4A1A7A"/>
      <name val="Arial"/>
      <family val="2"/>
    </font>
    <font>
      <b/>
      <sz val="10"/>
      <color rgb="FF0D5C2F"/>
      <name val="Arial"/>
      <family val="2"/>
    </font>
    <font>
      <i/>
      <sz val="9"/>
      <color rgb="FF6B7280"/>
      <name val="Arial"/>
      <family val="2"/>
    </font>
    <font>
      <b/>
      <sz val="13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8"/>
      <color rgb="FFFFFFFF"/>
      <name val="Arial"/>
      <family val="2"/>
    </font>
    <font>
      <b/>
      <sz val="16"/>
      <color rgb="FFFFFFFF"/>
      <name val="Arial"/>
      <family val="2"/>
    </font>
    <font>
      <b/>
      <sz val="12"/>
      <color rgb="FF000000"/>
      <name val="Arial"/>
      <family val="2"/>
    </font>
    <font>
      <b/>
      <sz val="15"/>
      <color rgb="FFFFFFFF"/>
      <name val="Arial"/>
      <family val="2"/>
    </font>
    <font>
      <sz val="9"/>
      <color rgb="FF6B7280"/>
      <name val="Courier New"/>
      <family val="1"/>
    </font>
  </fonts>
  <fills count="1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D7C7C"/>
        <bgColor rgb="FF008080"/>
      </patternFill>
    </fill>
    <fill>
      <patternFill patternType="solid">
        <fgColor rgb="FFEBF5FB"/>
        <bgColor rgb="FFEEF4FB"/>
      </patternFill>
    </fill>
    <fill>
      <patternFill patternType="solid">
        <fgColor rgb="FFF5F6F8"/>
        <bgColor rgb="FFEEF4FB"/>
      </patternFill>
    </fill>
    <fill>
      <patternFill patternType="solid">
        <fgColor rgb="FF7B5800"/>
        <bgColor rgb="FF993300"/>
      </patternFill>
    </fill>
    <fill>
      <patternFill patternType="solid">
        <fgColor rgb="FFFFF3CD"/>
        <bgColor rgb="FFF5F6F8"/>
      </patternFill>
    </fill>
    <fill>
      <patternFill patternType="solid">
        <fgColor rgb="FF4A1A7A"/>
        <bgColor rgb="FF660066"/>
      </patternFill>
    </fill>
    <fill>
      <patternFill patternType="solid">
        <fgColor rgb="FFF5E6FF"/>
        <bgColor rgb="FFEEF4FB"/>
      </patternFill>
    </fill>
    <fill>
      <patternFill patternType="solid">
        <fgColor rgb="FF0D5C2F"/>
        <bgColor rgb="FF0D7C7C"/>
      </patternFill>
    </fill>
    <fill>
      <patternFill patternType="solid">
        <fgColor rgb="FFE8F5E9"/>
        <bgColor rgb="FFE6F4EA"/>
      </patternFill>
    </fill>
    <fill>
      <patternFill patternType="solid">
        <fgColor rgb="FFFFFFFF"/>
        <bgColor rgb="FFF5F6F8"/>
      </patternFill>
    </fill>
    <fill>
      <patternFill patternType="solid">
        <fgColor rgb="FF6B7280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D5E8D4"/>
        <bgColor rgb="FFE6F4EA"/>
      </patternFill>
    </fill>
    <fill>
      <patternFill patternType="solid">
        <fgColor rgb="FFE6F4EA"/>
        <bgColor rgb="FFE8F5E9"/>
      </patternFill>
    </fill>
    <fill>
      <patternFill patternType="solid">
        <fgColor rgb="FFEEF4FB"/>
        <bgColor rgb="FFEBF5FB"/>
      </patternFill>
    </fill>
  </fills>
  <borders count="2">
    <border>
      <left/>
      <right/>
      <top/>
      <bottom/>
      <diagonal/>
    </border>
    <border>
      <left/>
      <right/>
      <top style="medium">
        <color rgb="FF1B2A4A"/>
      </top>
      <bottom style="medium">
        <color rgb="FF1B2A4A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 wrapText="1"/>
    </xf>
    <xf numFmtId="164" fontId="7" fillId="4" borderId="0" xfId="0" applyNumberFormat="1" applyFont="1" applyFill="1" applyAlignment="1">
      <alignment horizontal="right" vertical="center"/>
    </xf>
    <xf numFmtId="164" fontId="8" fillId="4" borderId="0" xfId="0" applyNumberFormat="1" applyFont="1" applyFill="1" applyAlignment="1">
      <alignment horizontal="right" vertical="center"/>
    </xf>
    <xf numFmtId="0" fontId="5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  <xf numFmtId="164" fontId="7" fillId="5" borderId="0" xfId="0" applyNumberFormat="1" applyFont="1" applyFill="1" applyAlignment="1">
      <alignment horizontal="right" vertical="center"/>
    </xf>
    <xf numFmtId="164" fontId="8" fillId="5" borderId="0" xfId="0" applyNumberFormat="1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 wrapText="1"/>
    </xf>
    <xf numFmtId="164" fontId="7" fillId="7" borderId="0" xfId="0" applyNumberFormat="1" applyFont="1" applyFill="1" applyAlignment="1">
      <alignment horizontal="right" vertical="center"/>
    </xf>
    <xf numFmtId="49" fontId="10" fillId="7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49" fontId="10" fillId="5" borderId="0" xfId="0" applyNumberFormat="1" applyFont="1" applyFill="1" applyAlignment="1">
      <alignment horizontal="right" vertical="center"/>
    </xf>
    <xf numFmtId="0" fontId="11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 wrapText="1"/>
    </xf>
    <xf numFmtId="164" fontId="7" fillId="9" borderId="0" xfId="0" applyNumberFormat="1" applyFont="1" applyFill="1" applyAlignment="1">
      <alignment horizontal="right" vertical="center"/>
    </xf>
    <xf numFmtId="49" fontId="10" fillId="9" borderId="0" xfId="0" applyNumberFormat="1" applyFont="1" applyFill="1" applyAlignment="1">
      <alignment horizontal="right" vertical="center"/>
    </xf>
    <xf numFmtId="164" fontId="8" fillId="9" borderId="0" xfId="0" applyNumberFormat="1" applyFont="1" applyFill="1" applyAlignment="1">
      <alignment horizontal="right" vertical="center"/>
    </xf>
    <xf numFmtId="0" fontId="11" fillId="5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 wrapText="1"/>
    </xf>
    <xf numFmtId="164" fontId="7" fillId="11" borderId="0" xfId="0" applyNumberFormat="1" applyFont="1" applyFill="1" applyAlignment="1">
      <alignment horizontal="right" vertical="center"/>
    </xf>
    <xf numFmtId="49" fontId="10" fillId="11" borderId="0" xfId="0" applyNumberFormat="1" applyFont="1" applyFill="1" applyAlignment="1">
      <alignment horizontal="right" vertical="center"/>
    </xf>
    <xf numFmtId="164" fontId="8" fillId="11" borderId="0" xfId="0" applyNumberFormat="1" applyFont="1" applyFill="1" applyAlignment="1">
      <alignment horizontal="right" vertical="center"/>
    </xf>
    <xf numFmtId="0" fontId="12" fillId="5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 wrapText="1"/>
    </xf>
    <xf numFmtId="164" fontId="15" fillId="11" borderId="0" xfId="0" applyNumberFormat="1" applyFont="1" applyFill="1" applyAlignment="1">
      <alignment horizontal="right" vertical="center"/>
    </xf>
    <xf numFmtId="0" fontId="9" fillId="7" borderId="0" xfId="0" applyFont="1" applyFill="1" applyAlignment="1">
      <alignment horizontal="center" vertical="center" wrapText="1"/>
    </xf>
    <xf numFmtId="164" fontId="15" fillId="7" borderId="0" xfId="0" applyNumberFormat="1" applyFont="1" applyFill="1" applyAlignment="1">
      <alignment horizontal="right" vertical="center"/>
    </xf>
    <xf numFmtId="0" fontId="11" fillId="9" borderId="0" xfId="0" applyFont="1" applyFill="1" applyAlignment="1">
      <alignment horizontal="center" vertical="center" wrapText="1"/>
    </xf>
    <xf numFmtId="164" fontId="15" fillId="9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 wrapText="1"/>
    </xf>
    <xf numFmtId="164" fontId="15" fillId="4" borderId="0" xfId="0" applyNumberFormat="1" applyFont="1" applyFill="1" applyAlignment="1">
      <alignment horizontal="right" vertical="center"/>
    </xf>
    <xf numFmtId="0" fontId="5" fillId="12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15" fillId="12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left" vertical="center"/>
    </xf>
    <xf numFmtId="0" fontId="16" fillId="12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5" fontId="15" fillId="12" borderId="0" xfId="0" applyNumberFormat="1" applyFont="1" applyFill="1" applyAlignment="1">
      <alignment horizontal="right" vertical="center"/>
    </xf>
    <xf numFmtId="0" fontId="6" fillId="12" borderId="0" xfId="0" applyFont="1" applyFill="1" applyAlignment="1">
      <alignment horizontal="left" vertical="center" wrapText="1"/>
    </xf>
    <xf numFmtId="0" fontId="8" fillId="5" borderId="0" xfId="0" applyFont="1" applyFill="1" applyAlignment="1">
      <alignment horizontal="left" vertical="center"/>
    </xf>
    <xf numFmtId="165" fontId="15" fillId="5" borderId="0" xfId="0" applyNumberFormat="1" applyFont="1" applyFill="1" applyAlignment="1">
      <alignment horizontal="right" vertical="center"/>
    </xf>
    <xf numFmtId="165" fontId="6" fillId="5" borderId="0" xfId="0" applyNumberFormat="1" applyFont="1" applyFill="1" applyAlignment="1">
      <alignment horizontal="right" vertical="center"/>
    </xf>
    <xf numFmtId="165" fontId="19" fillId="4" borderId="1" xfId="0" applyNumberFormat="1" applyFont="1" applyFill="1" applyBorder="1" applyAlignment="1">
      <alignment horizontal="right" vertical="center"/>
    </xf>
    <xf numFmtId="0" fontId="16" fillId="12" borderId="0" xfId="0" applyFont="1" applyFill="1" applyAlignment="1">
      <alignment horizontal="center" vertical="center" wrapText="1"/>
    </xf>
    <xf numFmtId="165" fontId="7" fillId="5" borderId="0" xfId="0" applyNumberFormat="1" applyFont="1" applyFill="1" applyAlignment="1">
      <alignment horizontal="center" vertical="center" wrapText="1"/>
    </xf>
    <xf numFmtId="165" fontId="16" fillId="12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164" fontId="15" fillId="14" borderId="0" xfId="0" applyNumberFormat="1" applyFont="1" applyFill="1" applyAlignment="1">
      <alignment horizontal="right" vertical="center"/>
    </xf>
    <xf numFmtId="166" fontId="16" fillId="12" borderId="0" xfId="0" applyNumberFormat="1" applyFont="1" applyFill="1" applyAlignment="1">
      <alignment horizontal="right" vertical="center"/>
    </xf>
    <xf numFmtId="167" fontId="7" fillId="14" borderId="0" xfId="0" applyNumberFormat="1" applyFont="1" applyFill="1" applyAlignment="1">
      <alignment horizontal="right" vertical="center"/>
    </xf>
    <xf numFmtId="0" fontId="5" fillId="15" borderId="0" xfId="0" applyFont="1" applyFill="1" applyAlignment="1">
      <alignment horizontal="left" vertical="center"/>
    </xf>
    <xf numFmtId="167" fontId="8" fillId="15" borderId="0" xfId="0" applyNumberFormat="1" applyFont="1" applyFill="1" applyAlignment="1">
      <alignment horizontal="right" vertical="center"/>
    </xf>
    <xf numFmtId="0" fontId="6" fillId="15" borderId="0" xfId="0" applyFont="1" applyFill="1" applyAlignment="1">
      <alignment horizontal="left" vertical="center" wrapText="1"/>
    </xf>
    <xf numFmtId="165" fontId="8" fillId="15" borderId="0" xfId="0" applyNumberFormat="1" applyFont="1" applyFill="1" applyAlignment="1">
      <alignment horizontal="right" vertical="center"/>
    </xf>
    <xf numFmtId="167" fontId="15" fillId="14" borderId="0" xfId="0" applyNumberFormat="1" applyFont="1" applyFill="1" applyAlignment="1">
      <alignment horizontal="right" vertical="center"/>
    </xf>
    <xf numFmtId="0" fontId="5" fillId="16" borderId="0" xfId="0" applyFont="1" applyFill="1" applyAlignment="1">
      <alignment horizontal="left" vertical="center"/>
    </xf>
    <xf numFmtId="165" fontId="8" fillId="16" borderId="0" xfId="0" applyNumberFormat="1" applyFont="1" applyFill="1" applyAlignment="1">
      <alignment horizontal="right" vertical="center"/>
    </xf>
    <xf numFmtId="0" fontId="6" fillId="16" borderId="0" xfId="0" applyFont="1" applyFill="1" applyAlignment="1">
      <alignment horizontal="left" vertical="center" wrapText="1"/>
    </xf>
    <xf numFmtId="165" fontId="15" fillId="14" borderId="0" xfId="0" applyNumberFormat="1" applyFont="1" applyFill="1" applyAlignment="1">
      <alignment horizontal="right" vertical="center"/>
    </xf>
    <xf numFmtId="0" fontId="16" fillId="16" borderId="0" xfId="0" applyFont="1" applyFill="1" applyAlignment="1">
      <alignment horizontal="left" vertical="center"/>
    </xf>
    <xf numFmtId="165" fontId="16" fillId="16" borderId="0" xfId="0" applyNumberFormat="1" applyFont="1" applyFill="1" applyAlignment="1">
      <alignment horizontal="right" vertical="center"/>
    </xf>
    <xf numFmtId="168" fontId="8" fillId="16" borderId="0" xfId="0" applyNumberFormat="1" applyFont="1" applyFill="1" applyAlignment="1">
      <alignment horizontal="right" vertical="center"/>
    </xf>
    <xf numFmtId="169" fontId="8" fillId="16" borderId="0" xfId="0" applyNumberFormat="1" applyFont="1" applyFill="1" applyAlignment="1">
      <alignment horizontal="right" vertical="center"/>
    </xf>
    <xf numFmtId="0" fontId="5" fillId="12" borderId="0" xfId="0" applyFont="1" applyFill="1" applyAlignment="1">
      <alignment horizontal="left" vertical="top" wrapText="1"/>
    </xf>
    <xf numFmtId="0" fontId="21" fillId="17" borderId="0" xfId="0" applyFont="1" applyFill="1" applyAlignment="1">
      <alignment horizontal="left" vertical="top" wrapText="1"/>
    </xf>
    <xf numFmtId="0" fontId="16" fillId="12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16" fillId="5" borderId="0" xfId="0" applyFont="1" applyFill="1" applyAlignment="1">
      <alignment horizontal="left" vertical="top" wrapText="1"/>
    </xf>
    <xf numFmtId="0" fontId="3" fillId="10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12" borderId="0" xfId="0" applyFont="1" applyFill="1" applyAlignment="1">
      <alignment horizontal="left" vertical="center" wrapText="1"/>
    </xf>
    <xf numFmtId="0" fontId="16" fillId="5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5C2F"/>
      <rgbColor rgb="FF000080"/>
      <rgbColor rgb="FF7B5800"/>
      <rgbColor rgb="FF800080"/>
      <rgbColor rgb="FF0D7C7C"/>
      <rgbColor rgb="FFEBF5FB"/>
      <rgbColor rgb="FF808080"/>
      <rgbColor rgb="FF9999FF"/>
      <rgbColor rgb="FF993366"/>
      <rgbColor rgb="FFFFF3CD"/>
      <rgbColor rgb="FFE6F4EA"/>
      <rgbColor rgb="FF660066"/>
      <rgbColor rgb="FFFF8080"/>
      <rgbColor rgb="FF0066CC"/>
      <rgbColor rgb="FFF5E6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D5E8D4"/>
      <rgbColor rgb="FFF5F6F8"/>
      <rgbColor rgb="FF99CCFF"/>
      <rgbColor rgb="FFFF99CC"/>
      <rgbColor rgb="FFCC99FF"/>
      <rgbColor rgb="FFEEF4FB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4A1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1"/>
  <sheetViews>
    <sheetView showGridLines="0" topLeftCell="A22" zoomScaleNormal="100" workbookViewId="0"/>
  </sheetViews>
  <sheetFormatPr baseColWidth="10" defaultColWidth="8.6640625" defaultRowHeight="15" x14ac:dyDescent="0.2"/>
  <cols>
    <col min="1" max="1" width="2" customWidth="1"/>
    <col min="2" max="2" width="30" customWidth="1"/>
    <col min="3" max="8" width="14" customWidth="1"/>
    <col min="9" max="9" width="20" customWidth="1"/>
    <col min="10" max="10" width="50.33203125" bestFit="1" customWidth="1"/>
  </cols>
  <sheetData>
    <row r="1" spans="2:10" ht="42" customHeight="1" x14ac:dyDescent="0.2">
      <c r="B1" s="82" t="s">
        <v>0</v>
      </c>
      <c r="C1" s="82"/>
      <c r="D1" s="82"/>
      <c r="E1" s="82"/>
      <c r="F1" s="82"/>
      <c r="G1" s="82"/>
      <c r="H1" s="82"/>
      <c r="I1" s="82"/>
    </row>
    <row r="2" spans="2:10" ht="13.5" customHeight="1" x14ac:dyDescent="0.2">
      <c r="B2" s="83" t="s">
        <v>1</v>
      </c>
      <c r="C2" s="83"/>
      <c r="D2" s="83"/>
      <c r="E2" s="83"/>
      <c r="F2" s="83"/>
      <c r="G2" s="83"/>
      <c r="H2" s="83"/>
      <c r="I2" s="83"/>
    </row>
    <row r="4" spans="2:10" ht="15.75" customHeight="1" x14ac:dyDescent="0.2">
      <c r="B4" s="84" t="s">
        <v>2</v>
      </c>
      <c r="C4" s="84"/>
      <c r="D4" s="84"/>
      <c r="E4" s="84"/>
      <c r="F4" s="84"/>
      <c r="G4" s="84"/>
      <c r="H4" s="84"/>
      <c r="I4" s="84"/>
    </row>
    <row r="5" spans="2:10" ht="15.75" customHeight="1" x14ac:dyDescent="0.2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</row>
    <row r="6" spans="2:10" ht="15.75" customHeight="1" x14ac:dyDescent="0.2">
      <c r="B6" s="2" t="s">
        <v>12</v>
      </c>
      <c r="C6" s="3" t="s">
        <v>13</v>
      </c>
      <c r="D6" s="3" t="s">
        <v>14</v>
      </c>
      <c r="E6" s="4">
        <v>1</v>
      </c>
      <c r="F6" s="4">
        <v>5</v>
      </c>
      <c r="G6" s="4">
        <v>1.25</v>
      </c>
      <c r="H6" s="4">
        <v>0.1</v>
      </c>
      <c r="I6" s="5">
        <v>2.2000000000000002</v>
      </c>
      <c r="J6" s="3" t="s">
        <v>15</v>
      </c>
    </row>
    <row r="7" spans="2:10" ht="15.75" customHeight="1" x14ac:dyDescent="0.2">
      <c r="B7" s="6" t="s">
        <v>16</v>
      </c>
      <c r="C7" s="7" t="s">
        <v>17</v>
      </c>
      <c r="D7" s="7" t="s">
        <v>14</v>
      </c>
      <c r="E7" s="8">
        <v>5</v>
      </c>
      <c r="F7" s="8">
        <v>25</v>
      </c>
      <c r="G7" s="8">
        <v>6.25</v>
      </c>
      <c r="H7" s="8">
        <v>0.5</v>
      </c>
      <c r="I7" s="9">
        <v>11</v>
      </c>
      <c r="J7" s="7" t="s">
        <v>18</v>
      </c>
    </row>
    <row r="8" spans="2:10" ht="15.75" customHeight="1" x14ac:dyDescent="0.2">
      <c r="B8" s="2" t="s">
        <v>19</v>
      </c>
      <c r="C8" s="3" t="s">
        <v>17</v>
      </c>
      <c r="D8" s="3" t="s">
        <v>14</v>
      </c>
      <c r="E8" s="4">
        <v>5</v>
      </c>
      <c r="F8" s="4">
        <v>25</v>
      </c>
      <c r="G8" s="4">
        <v>6.25</v>
      </c>
      <c r="H8" s="4">
        <v>0.5</v>
      </c>
      <c r="I8" s="5">
        <v>11</v>
      </c>
      <c r="J8" s="3" t="s">
        <v>18</v>
      </c>
    </row>
    <row r="9" spans="2:10" ht="15.75" customHeight="1" x14ac:dyDescent="0.2">
      <c r="B9" s="6" t="s">
        <v>20</v>
      </c>
      <c r="C9" s="7" t="s">
        <v>17</v>
      </c>
      <c r="D9" s="7" t="s">
        <v>14</v>
      </c>
      <c r="E9" s="8">
        <v>5</v>
      </c>
      <c r="F9" s="8">
        <v>25</v>
      </c>
      <c r="G9" s="8">
        <v>6.25</v>
      </c>
      <c r="H9" s="8">
        <v>0.5</v>
      </c>
      <c r="I9" s="9">
        <v>11</v>
      </c>
      <c r="J9" s="7" t="s">
        <v>18</v>
      </c>
    </row>
    <row r="10" spans="2:10" ht="15.75" customHeight="1" x14ac:dyDescent="0.2">
      <c r="B10" s="2" t="s">
        <v>21</v>
      </c>
      <c r="C10" s="3" t="s">
        <v>17</v>
      </c>
      <c r="D10" s="3" t="s">
        <v>14</v>
      </c>
      <c r="E10" s="4">
        <v>15</v>
      </c>
      <c r="F10" s="4">
        <v>75</v>
      </c>
      <c r="G10" s="4">
        <v>18.75</v>
      </c>
      <c r="H10" s="4">
        <v>1.5</v>
      </c>
      <c r="I10" s="5">
        <v>33</v>
      </c>
      <c r="J10" s="3" t="s">
        <v>22</v>
      </c>
    </row>
    <row r="11" spans="2:10" ht="15.75" customHeight="1" x14ac:dyDescent="0.2">
      <c r="B11" s="6" t="s">
        <v>23</v>
      </c>
      <c r="C11" s="7" t="s">
        <v>17</v>
      </c>
      <c r="D11" s="7" t="s">
        <v>14</v>
      </c>
      <c r="E11" s="8">
        <v>15</v>
      </c>
      <c r="F11" s="8">
        <v>75</v>
      </c>
      <c r="G11" s="8">
        <v>18.75</v>
      </c>
      <c r="H11" s="8">
        <v>1.5</v>
      </c>
      <c r="I11" s="9">
        <v>33</v>
      </c>
      <c r="J11" s="7" t="s">
        <v>22</v>
      </c>
    </row>
    <row r="12" spans="2:10" ht="15.75" customHeight="1" x14ac:dyDescent="0.2">
      <c r="B12" s="2" t="s">
        <v>24</v>
      </c>
      <c r="C12" s="3" t="s">
        <v>25</v>
      </c>
      <c r="D12" s="3" t="s">
        <v>14</v>
      </c>
      <c r="E12" s="4">
        <v>3</v>
      </c>
      <c r="F12" s="4">
        <v>15</v>
      </c>
      <c r="G12" s="4">
        <v>3.75</v>
      </c>
      <c r="H12" s="4">
        <v>0.3</v>
      </c>
      <c r="I12" s="5">
        <v>6.6</v>
      </c>
      <c r="J12" s="3" t="s">
        <v>26</v>
      </c>
    </row>
    <row r="13" spans="2:10" ht="15.75" customHeight="1" x14ac:dyDescent="0.2">
      <c r="B13" s="6" t="s">
        <v>27</v>
      </c>
      <c r="C13" s="7" t="s">
        <v>25</v>
      </c>
      <c r="D13" s="7" t="s">
        <v>14</v>
      </c>
      <c r="E13" s="8">
        <v>3</v>
      </c>
      <c r="F13" s="8">
        <v>15</v>
      </c>
      <c r="G13" s="8">
        <v>3.75</v>
      </c>
      <c r="H13" s="8">
        <v>0.3</v>
      </c>
      <c r="I13" s="9">
        <v>6.6</v>
      </c>
      <c r="J13" s="7" t="s">
        <v>26</v>
      </c>
    </row>
    <row r="14" spans="2:10" ht="15.75" customHeight="1" x14ac:dyDescent="0.2">
      <c r="B14" s="2" t="s">
        <v>28</v>
      </c>
      <c r="C14" s="3" t="s">
        <v>25</v>
      </c>
      <c r="D14" s="3" t="s">
        <v>14</v>
      </c>
      <c r="E14" s="4">
        <v>3</v>
      </c>
      <c r="F14" s="4">
        <v>15</v>
      </c>
      <c r="G14" s="4">
        <v>3.75</v>
      </c>
      <c r="H14" s="4">
        <v>0.3</v>
      </c>
      <c r="I14" s="5">
        <v>6.6</v>
      </c>
      <c r="J14" s="3" t="s">
        <v>26</v>
      </c>
    </row>
    <row r="17" spans="2:10" ht="15.75" customHeight="1" x14ac:dyDescent="0.2">
      <c r="B17" s="85" t="s">
        <v>29</v>
      </c>
      <c r="C17" s="85"/>
      <c r="D17" s="85"/>
      <c r="E17" s="85"/>
      <c r="F17" s="85"/>
      <c r="G17" s="85"/>
      <c r="H17" s="85"/>
      <c r="I17" s="85"/>
    </row>
    <row r="18" spans="2:10" ht="15.75" customHeight="1" x14ac:dyDescent="0.2">
      <c r="B18" s="1" t="s">
        <v>3</v>
      </c>
      <c r="C18" s="1" t="s">
        <v>4</v>
      </c>
      <c r="D18" s="1" t="s">
        <v>5</v>
      </c>
      <c r="E18" s="1" t="s">
        <v>6</v>
      </c>
      <c r="F18" s="1" t="s">
        <v>7</v>
      </c>
      <c r="G18" s="1" t="s">
        <v>8</v>
      </c>
      <c r="H18" s="1" t="s">
        <v>9</v>
      </c>
      <c r="I18" s="1" t="s">
        <v>10</v>
      </c>
      <c r="J18" s="1" t="s">
        <v>11</v>
      </c>
    </row>
    <row r="19" spans="2:10" ht="15.75" customHeight="1" x14ac:dyDescent="0.2">
      <c r="B19" s="10" t="s">
        <v>30</v>
      </c>
      <c r="C19" s="11" t="s">
        <v>31</v>
      </c>
      <c r="D19" s="11" t="s">
        <v>32</v>
      </c>
      <c r="E19" s="12">
        <v>5</v>
      </c>
      <c r="F19" s="12">
        <v>30</v>
      </c>
      <c r="G19" s="13" t="s">
        <v>33</v>
      </c>
      <c r="H19" s="13" t="s">
        <v>33</v>
      </c>
      <c r="I19" s="14">
        <v>12.5</v>
      </c>
      <c r="J19" s="11" t="s">
        <v>34</v>
      </c>
    </row>
    <row r="20" spans="2:10" ht="15.75" customHeight="1" x14ac:dyDescent="0.2">
      <c r="B20" s="15" t="s">
        <v>35</v>
      </c>
      <c r="C20" s="7" t="s">
        <v>36</v>
      </c>
      <c r="D20" s="7" t="s">
        <v>32</v>
      </c>
      <c r="E20" s="8">
        <v>1.5</v>
      </c>
      <c r="F20" s="8">
        <v>6</v>
      </c>
      <c r="G20" s="16" t="s">
        <v>33</v>
      </c>
      <c r="H20" s="16" t="s">
        <v>33</v>
      </c>
      <c r="I20" s="9">
        <v>2.85</v>
      </c>
      <c r="J20" s="7" t="s">
        <v>37</v>
      </c>
    </row>
    <row r="21" spans="2:10" ht="15.75" customHeight="1" x14ac:dyDescent="0.2">
      <c r="B21" s="10" t="s">
        <v>38</v>
      </c>
      <c r="C21" s="11" t="s">
        <v>39</v>
      </c>
      <c r="D21" s="11" t="s">
        <v>40</v>
      </c>
      <c r="E21" s="12">
        <v>0.2</v>
      </c>
      <c r="F21" s="12">
        <v>1.25</v>
      </c>
      <c r="G21" s="13" t="s">
        <v>33</v>
      </c>
      <c r="H21" s="13" t="s">
        <v>33</v>
      </c>
      <c r="I21" s="14">
        <v>0.51500000000000001</v>
      </c>
      <c r="J21" s="11" t="s">
        <v>41</v>
      </c>
    </row>
    <row r="22" spans="2:10" ht="15.75" customHeight="1" x14ac:dyDescent="0.2">
      <c r="B22" s="15" t="s">
        <v>42</v>
      </c>
      <c r="C22" s="7" t="s">
        <v>39</v>
      </c>
      <c r="D22" s="7" t="s">
        <v>40</v>
      </c>
      <c r="E22" s="8">
        <v>0.75</v>
      </c>
      <c r="F22" s="8">
        <v>4.5</v>
      </c>
      <c r="G22" s="16" t="s">
        <v>33</v>
      </c>
      <c r="H22" s="16" t="s">
        <v>33</v>
      </c>
      <c r="I22" s="9">
        <v>1.875</v>
      </c>
      <c r="J22" s="7" t="s">
        <v>43</v>
      </c>
    </row>
    <row r="23" spans="2:10" ht="15.75" customHeight="1" x14ac:dyDescent="0.2">
      <c r="B23" s="10" t="s">
        <v>44</v>
      </c>
      <c r="C23" s="11" t="s">
        <v>39</v>
      </c>
      <c r="D23" s="11" t="s">
        <v>32</v>
      </c>
      <c r="E23" s="12">
        <v>1.75</v>
      </c>
      <c r="F23" s="12">
        <v>14</v>
      </c>
      <c r="G23" s="13" t="s">
        <v>33</v>
      </c>
      <c r="H23" s="13" t="s">
        <v>33</v>
      </c>
      <c r="I23" s="14">
        <v>5.4249999999999998</v>
      </c>
      <c r="J23" s="11" t="s">
        <v>45</v>
      </c>
    </row>
    <row r="24" spans="2:10" ht="15.75" customHeight="1" x14ac:dyDescent="0.2">
      <c r="B24" s="15" t="s">
        <v>46</v>
      </c>
      <c r="C24" s="7" t="s">
        <v>39</v>
      </c>
      <c r="D24" s="7" t="s">
        <v>40</v>
      </c>
      <c r="E24" s="8">
        <v>2.5</v>
      </c>
      <c r="F24" s="8">
        <v>15</v>
      </c>
      <c r="G24" s="16" t="s">
        <v>33</v>
      </c>
      <c r="H24" s="16" t="s">
        <v>33</v>
      </c>
      <c r="I24" s="9">
        <v>6.25</v>
      </c>
      <c r="J24" s="7" t="s">
        <v>47</v>
      </c>
    </row>
    <row r="25" spans="2:10" ht="15.75" customHeight="1" x14ac:dyDescent="0.2">
      <c r="B25" s="10" t="s">
        <v>46</v>
      </c>
      <c r="C25" s="11" t="s">
        <v>39</v>
      </c>
      <c r="D25" s="11" t="s">
        <v>48</v>
      </c>
      <c r="E25" s="12">
        <v>5</v>
      </c>
      <c r="F25" s="12">
        <v>22.5</v>
      </c>
      <c r="G25" s="13" t="s">
        <v>33</v>
      </c>
      <c r="H25" s="13" t="s">
        <v>33</v>
      </c>
      <c r="I25" s="14">
        <v>10.25</v>
      </c>
      <c r="J25" s="11" t="s">
        <v>47</v>
      </c>
    </row>
    <row r="26" spans="2:10" ht="15.75" customHeight="1" x14ac:dyDescent="0.2">
      <c r="B26" s="15" t="s">
        <v>49</v>
      </c>
      <c r="C26" s="7" t="s">
        <v>39</v>
      </c>
      <c r="D26" s="7" t="s">
        <v>40</v>
      </c>
      <c r="E26" s="8">
        <v>5</v>
      </c>
      <c r="F26" s="8">
        <v>30</v>
      </c>
      <c r="G26" s="16" t="s">
        <v>33</v>
      </c>
      <c r="H26" s="16" t="s">
        <v>33</v>
      </c>
      <c r="I26" s="9">
        <v>12.5</v>
      </c>
      <c r="J26" s="7" t="s">
        <v>50</v>
      </c>
    </row>
    <row r="27" spans="2:10" ht="15.75" customHeight="1" x14ac:dyDescent="0.2">
      <c r="B27" s="10" t="s">
        <v>49</v>
      </c>
      <c r="C27" s="11" t="s">
        <v>39</v>
      </c>
      <c r="D27" s="11" t="s">
        <v>48</v>
      </c>
      <c r="E27" s="12">
        <v>10</v>
      </c>
      <c r="F27" s="12">
        <v>45</v>
      </c>
      <c r="G27" s="13" t="s">
        <v>33</v>
      </c>
      <c r="H27" s="13" t="s">
        <v>33</v>
      </c>
      <c r="I27" s="14">
        <v>20.5</v>
      </c>
      <c r="J27" s="11" t="s">
        <v>50</v>
      </c>
    </row>
    <row r="28" spans="2:10" ht="15.75" customHeight="1" x14ac:dyDescent="0.2">
      <c r="B28" s="15" t="s">
        <v>51</v>
      </c>
      <c r="C28" s="7" t="s">
        <v>39</v>
      </c>
      <c r="D28" s="7" t="s">
        <v>40</v>
      </c>
      <c r="E28" s="8">
        <v>30</v>
      </c>
      <c r="F28" s="8">
        <v>180</v>
      </c>
      <c r="G28" s="16" t="s">
        <v>33</v>
      </c>
      <c r="H28" s="16" t="s">
        <v>33</v>
      </c>
      <c r="I28" s="9">
        <v>75</v>
      </c>
      <c r="J28" s="7" t="s">
        <v>52</v>
      </c>
    </row>
    <row r="29" spans="2:10" ht="15.75" customHeight="1" x14ac:dyDescent="0.2">
      <c r="B29" s="10" t="s">
        <v>53</v>
      </c>
      <c r="C29" s="11" t="s">
        <v>39</v>
      </c>
      <c r="D29" s="11" t="s">
        <v>40</v>
      </c>
      <c r="E29" s="12">
        <v>30</v>
      </c>
      <c r="F29" s="12">
        <v>180</v>
      </c>
      <c r="G29" s="13" t="s">
        <v>33</v>
      </c>
      <c r="H29" s="13" t="s">
        <v>33</v>
      </c>
      <c r="I29" s="14">
        <v>75</v>
      </c>
      <c r="J29" s="11" t="s">
        <v>52</v>
      </c>
    </row>
    <row r="30" spans="2:10" ht="15.75" customHeight="1" x14ac:dyDescent="0.2">
      <c r="B30" s="15" t="s">
        <v>51</v>
      </c>
      <c r="C30" s="7" t="s">
        <v>39</v>
      </c>
      <c r="D30" s="7" t="s">
        <v>48</v>
      </c>
      <c r="E30" s="8">
        <v>60</v>
      </c>
      <c r="F30" s="8">
        <v>270</v>
      </c>
      <c r="G30" s="16" t="s">
        <v>33</v>
      </c>
      <c r="H30" s="16" t="s">
        <v>33</v>
      </c>
      <c r="I30" s="9">
        <v>123</v>
      </c>
      <c r="J30" s="7" t="s">
        <v>52</v>
      </c>
    </row>
    <row r="31" spans="2:10" ht="15.75" customHeight="1" x14ac:dyDescent="0.2">
      <c r="B31" s="10" t="s">
        <v>53</v>
      </c>
      <c r="C31" s="11" t="s">
        <v>39</v>
      </c>
      <c r="D31" s="11" t="s">
        <v>48</v>
      </c>
      <c r="E31" s="12">
        <v>60</v>
      </c>
      <c r="F31" s="12">
        <v>270</v>
      </c>
      <c r="G31" s="13" t="s">
        <v>33</v>
      </c>
      <c r="H31" s="13" t="s">
        <v>33</v>
      </c>
      <c r="I31" s="14">
        <v>123</v>
      </c>
      <c r="J31" s="11" t="s">
        <v>52</v>
      </c>
    </row>
    <row r="32" spans="2:10" ht="15.75" customHeight="1" x14ac:dyDescent="0.2">
      <c r="B32" s="15" t="s">
        <v>54</v>
      </c>
      <c r="C32" s="7" t="s">
        <v>55</v>
      </c>
      <c r="D32" s="7" t="s">
        <v>32</v>
      </c>
      <c r="E32" s="8">
        <v>5</v>
      </c>
      <c r="F32" s="8">
        <v>20</v>
      </c>
      <c r="G32" s="16" t="s">
        <v>33</v>
      </c>
      <c r="H32" s="16" t="s">
        <v>33</v>
      </c>
      <c r="I32" s="9">
        <v>9.5</v>
      </c>
      <c r="J32" s="7" t="s">
        <v>56</v>
      </c>
    </row>
    <row r="33" spans="2:10" ht="15.75" customHeight="1" x14ac:dyDescent="0.2">
      <c r="B33" s="10" t="s">
        <v>57</v>
      </c>
      <c r="C33" s="11" t="s">
        <v>58</v>
      </c>
      <c r="D33" s="11" t="s">
        <v>32</v>
      </c>
      <c r="E33" s="12">
        <v>1</v>
      </c>
      <c r="F33" s="12">
        <v>4</v>
      </c>
      <c r="G33" s="13" t="s">
        <v>33</v>
      </c>
      <c r="H33" s="13" t="s">
        <v>33</v>
      </c>
      <c r="I33" s="14">
        <v>1.9</v>
      </c>
      <c r="J33" s="11" t="s">
        <v>59</v>
      </c>
    </row>
    <row r="36" spans="2:10" ht="15.75" customHeight="1" x14ac:dyDescent="0.2">
      <c r="B36" s="86" t="s">
        <v>60</v>
      </c>
      <c r="C36" s="86"/>
      <c r="D36" s="86"/>
      <c r="E36" s="86"/>
      <c r="F36" s="86"/>
      <c r="G36" s="86"/>
      <c r="H36" s="86"/>
      <c r="I36" s="86"/>
    </row>
    <row r="37" spans="2:10" ht="15.75" customHeight="1" x14ac:dyDescent="0.2">
      <c r="B37" s="1" t="s">
        <v>3</v>
      </c>
      <c r="C37" s="1" t="s">
        <v>4</v>
      </c>
      <c r="D37" s="1" t="s">
        <v>5</v>
      </c>
      <c r="E37" s="1" t="s">
        <v>6</v>
      </c>
      <c r="F37" s="1" t="s">
        <v>7</v>
      </c>
      <c r="G37" s="1" t="s">
        <v>8</v>
      </c>
      <c r="H37" s="1" t="s">
        <v>9</v>
      </c>
      <c r="I37" s="1" t="s">
        <v>10</v>
      </c>
      <c r="J37" s="1" t="s">
        <v>11</v>
      </c>
    </row>
    <row r="38" spans="2:10" ht="15.75" customHeight="1" x14ac:dyDescent="0.2">
      <c r="B38" s="17" t="s">
        <v>61</v>
      </c>
      <c r="C38" s="18" t="s">
        <v>62</v>
      </c>
      <c r="D38" s="18" t="s">
        <v>14</v>
      </c>
      <c r="E38" s="19">
        <v>1</v>
      </c>
      <c r="F38" s="19">
        <v>2</v>
      </c>
      <c r="G38" s="20" t="s">
        <v>33</v>
      </c>
      <c r="H38" s="20" t="s">
        <v>33</v>
      </c>
      <c r="I38" s="21">
        <v>1.3</v>
      </c>
      <c r="J38" s="18" t="s">
        <v>63</v>
      </c>
    </row>
    <row r="39" spans="2:10" ht="15.75" customHeight="1" x14ac:dyDescent="0.2">
      <c r="B39" s="22" t="s">
        <v>64</v>
      </c>
      <c r="C39" s="7" t="s">
        <v>62</v>
      </c>
      <c r="D39" s="7" t="s">
        <v>14</v>
      </c>
      <c r="E39" s="8">
        <v>1.25</v>
      </c>
      <c r="F39" s="8">
        <v>2.5</v>
      </c>
      <c r="G39" s="16" t="s">
        <v>33</v>
      </c>
      <c r="H39" s="16" t="s">
        <v>33</v>
      </c>
      <c r="I39" s="9">
        <v>1.625</v>
      </c>
      <c r="J39" s="7" t="s">
        <v>65</v>
      </c>
    </row>
    <row r="40" spans="2:10" ht="15.75" customHeight="1" x14ac:dyDescent="0.2">
      <c r="B40" s="17" t="s">
        <v>66</v>
      </c>
      <c r="C40" s="18" t="s">
        <v>62</v>
      </c>
      <c r="D40" s="18" t="s">
        <v>14</v>
      </c>
      <c r="E40" s="19">
        <v>1.25</v>
      </c>
      <c r="F40" s="19">
        <v>2.5</v>
      </c>
      <c r="G40" s="20" t="s">
        <v>33</v>
      </c>
      <c r="H40" s="20" t="s">
        <v>33</v>
      </c>
      <c r="I40" s="21">
        <v>1.625</v>
      </c>
      <c r="J40" s="18" t="s">
        <v>67</v>
      </c>
    </row>
    <row r="41" spans="2:10" ht="15.75" customHeight="1" x14ac:dyDescent="0.2">
      <c r="B41" s="22" t="s">
        <v>68</v>
      </c>
      <c r="C41" s="7" t="s">
        <v>62</v>
      </c>
      <c r="D41" s="7" t="s">
        <v>14</v>
      </c>
      <c r="E41" s="8">
        <v>1.25</v>
      </c>
      <c r="F41" s="8">
        <v>2.5</v>
      </c>
      <c r="G41" s="16" t="s">
        <v>33</v>
      </c>
      <c r="H41" s="16" t="s">
        <v>33</v>
      </c>
      <c r="I41" s="9">
        <v>1.625</v>
      </c>
      <c r="J41" s="7" t="s">
        <v>69</v>
      </c>
    </row>
    <row r="42" spans="2:10" ht="15.75" customHeight="1" x14ac:dyDescent="0.2">
      <c r="B42" s="17" t="s">
        <v>70</v>
      </c>
      <c r="C42" s="18" t="s">
        <v>62</v>
      </c>
      <c r="D42" s="18" t="s">
        <v>14</v>
      </c>
      <c r="E42" s="19">
        <v>1.25</v>
      </c>
      <c r="F42" s="19">
        <v>2.5</v>
      </c>
      <c r="G42" s="20" t="s">
        <v>33</v>
      </c>
      <c r="H42" s="20" t="s">
        <v>33</v>
      </c>
      <c r="I42" s="21">
        <v>1.625</v>
      </c>
      <c r="J42" s="18" t="s">
        <v>71</v>
      </c>
    </row>
    <row r="45" spans="2:10" ht="15.75" customHeight="1" x14ac:dyDescent="0.2">
      <c r="B45" s="80" t="s">
        <v>72</v>
      </c>
      <c r="C45" s="80"/>
      <c r="D45" s="80"/>
      <c r="E45" s="80"/>
      <c r="F45" s="80"/>
      <c r="G45" s="80"/>
      <c r="H45" s="80"/>
      <c r="I45" s="80"/>
    </row>
    <row r="46" spans="2:10" ht="15.75" customHeight="1" x14ac:dyDescent="0.2">
      <c r="B46" s="1" t="s">
        <v>3</v>
      </c>
      <c r="C46" s="1" t="s">
        <v>4</v>
      </c>
      <c r="D46" s="1" t="s">
        <v>5</v>
      </c>
      <c r="E46" s="1" t="s">
        <v>6</v>
      </c>
      <c r="F46" s="1" t="s">
        <v>7</v>
      </c>
      <c r="G46" s="1" t="s">
        <v>8</v>
      </c>
      <c r="H46" s="1" t="s">
        <v>9</v>
      </c>
      <c r="I46" s="1" t="s">
        <v>10</v>
      </c>
      <c r="J46" s="1" t="s">
        <v>11</v>
      </c>
    </row>
    <row r="47" spans="2:10" ht="15.75" customHeight="1" x14ac:dyDescent="0.2">
      <c r="B47" s="23" t="s">
        <v>73</v>
      </c>
      <c r="C47" s="24" t="s">
        <v>74</v>
      </c>
      <c r="D47" s="24" t="s">
        <v>14</v>
      </c>
      <c r="E47" s="25">
        <v>7.4999999999999997E-2</v>
      </c>
      <c r="F47" s="26" t="s">
        <v>33</v>
      </c>
      <c r="G47" s="26" t="s">
        <v>33</v>
      </c>
      <c r="H47" s="26" t="s">
        <v>33</v>
      </c>
      <c r="I47" s="27">
        <v>7.4999999999999997E-2</v>
      </c>
      <c r="J47" s="24" t="s">
        <v>75</v>
      </c>
    </row>
    <row r="48" spans="2:10" ht="15.75" customHeight="1" x14ac:dyDescent="0.2">
      <c r="B48" s="28" t="s">
        <v>76</v>
      </c>
      <c r="C48" s="7" t="s">
        <v>74</v>
      </c>
      <c r="D48" s="7" t="s">
        <v>14</v>
      </c>
      <c r="E48" s="8">
        <v>0.1</v>
      </c>
      <c r="F48" s="16" t="s">
        <v>33</v>
      </c>
      <c r="G48" s="16" t="s">
        <v>33</v>
      </c>
      <c r="H48" s="16" t="s">
        <v>33</v>
      </c>
      <c r="I48" s="9">
        <v>0.1</v>
      </c>
      <c r="J48" s="7" t="s">
        <v>77</v>
      </c>
    </row>
    <row r="49" spans="2:10" ht="15.75" customHeight="1" x14ac:dyDescent="0.2">
      <c r="B49" s="23" t="s">
        <v>76</v>
      </c>
      <c r="C49" s="24" t="s">
        <v>74</v>
      </c>
      <c r="D49" s="24" t="s">
        <v>14</v>
      </c>
      <c r="E49" s="25">
        <v>0.7</v>
      </c>
      <c r="F49" s="26" t="s">
        <v>33</v>
      </c>
      <c r="G49" s="26" t="s">
        <v>33</v>
      </c>
      <c r="H49" s="26" t="s">
        <v>33</v>
      </c>
      <c r="I49" s="27">
        <v>0.7</v>
      </c>
      <c r="J49" s="24" t="s">
        <v>77</v>
      </c>
    </row>
    <row r="50" spans="2:10" ht="15.75" customHeight="1" x14ac:dyDescent="0.2">
      <c r="B50" s="28" t="s">
        <v>78</v>
      </c>
      <c r="C50" s="7" t="s">
        <v>79</v>
      </c>
      <c r="D50" s="7" t="s">
        <v>14</v>
      </c>
      <c r="E50" s="8">
        <v>0.3</v>
      </c>
      <c r="F50" s="8">
        <v>2.5</v>
      </c>
      <c r="G50" s="16" t="s">
        <v>33</v>
      </c>
      <c r="H50" s="16" t="s">
        <v>33</v>
      </c>
      <c r="I50" s="9">
        <v>0.96</v>
      </c>
      <c r="J50" s="7" t="s">
        <v>80</v>
      </c>
    </row>
    <row r="51" spans="2:10" ht="15.75" customHeight="1" x14ac:dyDescent="0.2">
      <c r="B51" s="23" t="s">
        <v>78</v>
      </c>
      <c r="C51" s="24" t="s">
        <v>79</v>
      </c>
      <c r="D51" s="24" t="s">
        <v>14</v>
      </c>
      <c r="E51" s="25">
        <v>1</v>
      </c>
      <c r="F51" s="25">
        <v>2.5</v>
      </c>
      <c r="G51" s="26" t="s">
        <v>33</v>
      </c>
      <c r="H51" s="26" t="s">
        <v>33</v>
      </c>
      <c r="I51" s="27">
        <v>1.45</v>
      </c>
      <c r="J51" s="24" t="s">
        <v>80</v>
      </c>
    </row>
    <row r="52" spans="2:10" ht="15.75" customHeight="1" x14ac:dyDescent="0.2">
      <c r="B52" s="28" t="s">
        <v>81</v>
      </c>
      <c r="C52" s="7" t="s">
        <v>82</v>
      </c>
      <c r="D52" s="7" t="s">
        <v>14</v>
      </c>
      <c r="E52" s="8">
        <v>0.5</v>
      </c>
      <c r="F52" s="8">
        <v>3</v>
      </c>
      <c r="G52" s="16" t="s">
        <v>33</v>
      </c>
      <c r="H52" s="16" t="s">
        <v>33</v>
      </c>
      <c r="I52" s="9">
        <v>1.25</v>
      </c>
      <c r="J52" s="7" t="s">
        <v>83</v>
      </c>
    </row>
    <row r="53" spans="2:10" ht="15.75" customHeight="1" x14ac:dyDescent="0.2">
      <c r="B53" s="23" t="s">
        <v>81</v>
      </c>
      <c r="C53" s="24" t="s">
        <v>82</v>
      </c>
      <c r="D53" s="24" t="s">
        <v>14</v>
      </c>
      <c r="E53" s="25">
        <v>1</v>
      </c>
      <c r="F53" s="25">
        <v>3</v>
      </c>
      <c r="G53" s="26" t="s">
        <v>33</v>
      </c>
      <c r="H53" s="26" t="s">
        <v>33</v>
      </c>
      <c r="I53" s="27">
        <v>1.6</v>
      </c>
      <c r="J53" s="24" t="s">
        <v>83</v>
      </c>
    </row>
    <row r="54" spans="2:10" ht="15.75" customHeight="1" x14ac:dyDescent="0.2">
      <c r="B54" s="28" t="s">
        <v>84</v>
      </c>
      <c r="C54" s="7" t="s">
        <v>85</v>
      </c>
      <c r="D54" s="7" t="s">
        <v>14</v>
      </c>
      <c r="E54" s="8">
        <v>0.25</v>
      </c>
      <c r="F54" s="8">
        <v>1.5</v>
      </c>
      <c r="G54" s="16" t="s">
        <v>33</v>
      </c>
      <c r="H54" s="16" t="s">
        <v>33</v>
      </c>
      <c r="I54" s="9">
        <v>0.625</v>
      </c>
      <c r="J54" s="7" t="s">
        <v>86</v>
      </c>
    </row>
    <row r="55" spans="2:10" ht="15.75" customHeight="1" x14ac:dyDescent="0.2">
      <c r="B55" s="23" t="s">
        <v>87</v>
      </c>
      <c r="C55" s="24" t="s">
        <v>85</v>
      </c>
      <c r="D55" s="24" t="s">
        <v>14</v>
      </c>
      <c r="E55" s="25">
        <v>0.25</v>
      </c>
      <c r="F55" s="25">
        <v>1.5</v>
      </c>
      <c r="G55" s="26" t="s">
        <v>33</v>
      </c>
      <c r="H55" s="26" t="s">
        <v>33</v>
      </c>
      <c r="I55" s="27">
        <v>0.625</v>
      </c>
      <c r="J55" s="24"/>
    </row>
    <row r="56" spans="2:10" ht="15.75" customHeight="1" x14ac:dyDescent="0.2">
      <c r="B56" s="28" t="s">
        <v>84</v>
      </c>
      <c r="C56" s="7" t="s">
        <v>85</v>
      </c>
      <c r="D56" s="7" t="s">
        <v>14</v>
      </c>
      <c r="E56" s="8">
        <v>0.5</v>
      </c>
      <c r="F56" s="8">
        <v>1.5</v>
      </c>
      <c r="G56" s="16" t="s">
        <v>33</v>
      </c>
      <c r="H56" s="16" t="s">
        <v>33</v>
      </c>
      <c r="I56" s="9">
        <v>0.8</v>
      </c>
      <c r="J56" s="7" t="s">
        <v>86</v>
      </c>
    </row>
    <row r="57" spans="2:10" ht="15.75" customHeight="1" x14ac:dyDescent="0.2">
      <c r="B57" s="23" t="s">
        <v>87</v>
      </c>
      <c r="C57" s="24" t="s">
        <v>85</v>
      </c>
      <c r="D57" s="24" t="s">
        <v>14</v>
      </c>
      <c r="E57" s="25">
        <v>0.5</v>
      </c>
      <c r="F57" s="25">
        <v>1.5</v>
      </c>
      <c r="G57" s="26" t="s">
        <v>33</v>
      </c>
      <c r="H57" s="26" t="s">
        <v>33</v>
      </c>
      <c r="I57" s="27">
        <v>0.8</v>
      </c>
      <c r="J57" s="24"/>
    </row>
    <row r="58" spans="2:10" ht="15.75" customHeight="1" x14ac:dyDescent="0.2">
      <c r="B58" s="28" t="s">
        <v>88</v>
      </c>
      <c r="C58" s="7" t="s">
        <v>89</v>
      </c>
      <c r="D58" s="7" t="s">
        <v>14</v>
      </c>
      <c r="E58" s="8">
        <v>1.5</v>
      </c>
      <c r="F58" s="8">
        <v>9</v>
      </c>
      <c r="G58" s="16" t="s">
        <v>33</v>
      </c>
      <c r="H58" s="16" t="s">
        <v>33</v>
      </c>
      <c r="I58" s="9">
        <v>3.75</v>
      </c>
      <c r="J58" s="7" t="s">
        <v>90</v>
      </c>
    </row>
    <row r="61" spans="2:10" ht="22.25" customHeight="1" x14ac:dyDescent="0.2">
      <c r="B61" s="81" t="s">
        <v>91</v>
      </c>
      <c r="C61" s="81"/>
      <c r="D61" s="81"/>
      <c r="E61" s="81"/>
      <c r="F61" s="81"/>
      <c r="G61" s="81"/>
      <c r="H61" s="81"/>
      <c r="I61" s="81"/>
      <c r="J61" s="81"/>
    </row>
  </sheetData>
  <mergeCells count="7">
    <mergeCell ref="B45:I45"/>
    <mergeCell ref="B61:J61"/>
    <mergeCell ref="B1:I1"/>
    <mergeCell ref="B2:I2"/>
    <mergeCell ref="B4:I4"/>
    <mergeCell ref="B17:I17"/>
    <mergeCell ref="B36:I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4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28" customWidth="1"/>
    <col min="3" max="6" width="16" customWidth="1"/>
    <col min="7" max="7" width="24" customWidth="1"/>
    <col min="8" max="8" width="2" customWidth="1"/>
  </cols>
  <sheetData>
    <row r="1" spans="2:7" ht="39.75" customHeight="1" x14ac:dyDescent="0.2">
      <c r="B1" s="89" t="s">
        <v>92</v>
      </c>
      <c r="C1" s="89"/>
      <c r="D1" s="89"/>
      <c r="E1" s="89"/>
      <c r="F1" s="89"/>
      <c r="G1" s="89"/>
    </row>
    <row r="2" spans="2:7" ht="13.5" customHeight="1" x14ac:dyDescent="0.2">
      <c r="B2" s="83" t="s">
        <v>93</v>
      </c>
      <c r="C2" s="83"/>
      <c r="D2" s="83"/>
      <c r="E2" s="83"/>
      <c r="F2" s="83"/>
      <c r="G2" s="83"/>
    </row>
    <row r="4" spans="2:7" ht="15.75" customHeight="1" x14ac:dyDescent="0.2">
      <c r="B4" s="29" t="s">
        <v>3</v>
      </c>
      <c r="C4" s="29" t="s">
        <v>94</v>
      </c>
      <c r="D4" s="29" t="s">
        <v>6</v>
      </c>
      <c r="E4" s="29" t="s">
        <v>7</v>
      </c>
      <c r="F4" s="29" t="s">
        <v>95</v>
      </c>
      <c r="G4" s="29" t="s">
        <v>96</v>
      </c>
    </row>
    <row r="5" spans="2:7" ht="19.5" customHeight="1" x14ac:dyDescent="0.2">
      <c r="B5" s="23" t="s">
        <v>73</v>
      </c>
      <c r="C5" s="30" t="s">
        <v>97</v>
      </c>
      <c r="D5" s="25">
        <v>7.4999999999999997E-2</v>
      </c>
      <c r="E5" s="26" t="s">
        <v>33</v>
      </c>
      <c r="F5" s="31">
        <v>7.4999999999999997E-2</v>
      </c>
      <c r="G5" s="24" t="s">
        <v>98</v>
      </c>
    </row>
    <row r="6" spans="2:7" ht="19.5" customHeight="1" x14ac:dyDescent="0.2">
      <c r="B6" s="23" t="s">
        <v>76</v>
      </c>
      <c r="C6" s="30" t="s">
        <v>97</v>
      </c>
      <c r="D6" s="25">
        <v>0.1</v>
      </c>
      <c r="E6" s="26" t="s">
        <v>33</v>
      </c>
      <c r="F6" s="31">
        <v>0.1</v>
      </c>
      <c r="G6" s="24" t="s">
        <v>99</v>
      </c>
    </row>
    <row r="7" spans="2:7" ht="19.5" customHeight="1" x14ac:dyDescent="0.2">
      <c r="B7" s="23" t="s">
        <v>78</v>
      </c>
      <c r="C7" s="30" t="s">
        <v>97</v>
      </c>
      <c r="D7" s="25">
        <v>0.3</v>
      </c>
      <c r="E7" s="25">
        <v>2.5</v>
      </c>
      <c r="F7" s="31">
        <v>0.96</v>
      </c>
      <c r="G7" s="24" t="s">
        <v>100</v>
      </c>
    </row>
    <row r="8" spans="2:7" ht="19.5" customHeight="1" x14ac:dyDescent="0.2">
      <c r="B8" s="10" t="s">
        <v>38</v>
      </c>
      <c r="C8" s="32" t="s">
        <v>101</v>
      </c>
      <c r="D8" s="12">
        <v>0.2</v>
      </c>
      <c r="E8" s="12">
        <v>1.25</v>
      </c>
      <c r="F8" s="33">
        <v>0.51500000000000001</v>
      </c>
      <c r="G8" s="11" t="s">
        <v>102</v>
      </c>
    </row>
    <row r="9" spans="2:7" ht="19.5" customHeight="1" x14ac:dyDescent="0.2">
      <c r="B9" s="10" t="s">
        <v>42</v>
      </c>
      <c r="C9" s="32" t="s">
        <v>101</v>
      </c>
      <c r="D9" s="12">
        <v>0.75</v>
      </c>
      <c r="E9" s="12">
        <v>4.5</v>
      </c>
      <c r="F9" s="33">
        <v>1.875</v>
      </c>
      <c r="G9" s="11" t="s">
        <v>103</v>
      </c>
    </row>
    <row r="10" spans="2:7" ht="19.5" customHeight="1" x14ac:dyDescent="0.2">
      <c r="B10" s="17" t="s">
        <v>70</v>
      </c>
      <c r="C10" s="34" t="s">
        <v>104</v>
      </c>
      <c r="D10" s="19">
        <v>1.25</v>
      </c>
      <c r="E10" s="19">
        <v>2.5</v>
      </c>
      <c r="F10" s="35">
        <v>1.625</v>
      </c>
      <c r="G10" s="18" t="s">
        <v>105</v>
      </c>
    </row>
    <row r="11" spans="2:7" ht="19.5" customHeight="1" x14ac:dyDescent="0.2">
      <c r="B11" s="2" t="s">
        <v>12</v>
      </c>
      <c r="C11" s="36" t="s">
        <v>106</v>
      </c>
      <c r="D11" s="4">
        <v>1</v>
      </c>
      <c r="E11" s="4">
        <v>5</v>
      </c>
      <c r="F11" s="37">
        <v>2.2000000000000002</v>
      </c>
      <c r="G11" s="3" t="s">
        <v>107</v>
      </c>
    </row>
    <row r="12" spans="2:7" ht="19.5" customHeight="1" x14ac:dyDescent="0.2">
      <c r="B12" s="2" t="s">
        <v>28</v>
      </c>
      <c r="C12" s="36" t="s">
        <v>106</v>
      </c>
      <c r="D12" s="4">
        <v>3</v>
      </c>
      <c r="E12" s="4">
        <v>15</v>
      </c>
      <c r="F12" s="37">
        <v>6.6</v>
      </c>
      <c r="G12" s="3" t="s">
        <v>108</v>
      </c>
    </row>
    <row r="13" spans="2:7" ht="19.5" customHeight="1" x14ac:dyDescent="0.2">
      <c r="B13" s="10" t="s">
        <v>46</v>
      </c>
      <c r="C13" s="32" t="s">
        <v>101</v>
      </c>
      <c r="D13" s="12">
        <v>5</v>
      </c>
      <c r="E13" s="12">
        <v>22.5</v>
      </c>
      <c r="F13" s="33">
        <v>10.25</v>
      </c>
      <c r="G13" s="11" t="s">
        <v>109</v>
      </c>
    </row>
    <row r="14" spans="2:7" ht="19.5" customHeight="1" x14ac:dyDescent="0.2">
      <c r="B14" s="2" t="s">
        <v>19</v>
      </c>
      <c r="C14" s="36" t="s">
        <v>106</v>
      </c>
      <c r="D14" s="4">
        <v>5</v>
      </c>
      <c r="E14" s="4">
        <v>25</v>
      </c>
      <c r="F14" s="37">
        <v>11</v>
      </c>
      <c r="G14" s="3" t="s">
        <v>110</v>
      </c>
    </row>
    <row r="15" spans="2:7" ht="19.5" customHeight="1" x14ac:dyDescent="0.2">
      <c r="B15" s="10" t="s">
        <v>49</v>
      </c>
      <c r="C15" s="32" t="s">
        <v>101</v>
      </c>
      <c r="D15" s="12">
        <v>5</v>
      </c>
      <c r="E15" s="12">
        <v>30</v>
      </c>
      <c r="F15" s="33">
        <v>12.5</v>
      </c>
      <c r="G15" s="11" t="s">
        <v>111</v>
      </c>
    </row>
    <row r="16" spans="2:7" ht="19.5" customHeight="1" x14ac:dyDescent="0.2">
      <c r="B16" s="2" t="s">
        <v>21</v>
      </c>
      <c r="C16" s="36" t="s">
        <v>106</v>
      </c>
      <c r="D16" s="4">
        <v>15</v>
      </c>
      <c r="E16" s="4">
        <v>75</v>
      </c>
      <c r="F16" s="37">
        <v>33</v>
      </c>
      <c r="G16" s="3" t="s">
        <v>112</v>
      </c>
    </row>
    <row r="17" spans="2:7" ht="19.5" customHeight="1" x14ac:dyDescent="0.2">
      <c r="B17" s="10" t="s">
        <v>51</v>
      </c>
      <c r="C17" s="32" t="s">
        <v>101</v>
      </c>
      <c r="D17" s="12">
        <v>30</v>
      </c>
      <c r="E17" s="12">
        <v>180</v>
      </c>
      <c r="F17" s="33">
        <v>75</v>
      </c>
      <c r="G17" s="11" t="s">
        <v>113</v>
      </c>
    </row>
    <row r="18" spans="2:7" ht="19.5" customHeight="1" x14ac:dyDescent="0.2">
      <c r="B18" s="10" t="s">
        <v>53</v>
      </c>
      <c r="C18" s="32" t="s">
        <v>101</v>
      </c>
      <c r="D18" s="12">
        <v>30</v>
      </c>
      <c r="E18" s="12">
        <v>180</v>
      </c>
      <c r="F18" s="33">
        <v>75</v>
      </c>
      <c r="G18" s="11" t="s">
        <v>114</v>
      </c>
    </row>
    <row r="20" spans="2:7" ht="15.75" customHeight="1" x14ac:dyDescent="0.2">
      <c r="B20" s="90" t="s">
        <v>115</v>
      </c>
      <c r="C20" s="90"/>
      <c r="D20" s="90"/>
      <c r="E20" s="90"/>
      <c r="F20" s="90"/>
      <c r="G20" s="90"/>
    </row>
    <row r="21" spans="2:7" ht="31.5" customHeight="1" x14ac:dyDescent="0.2">
      <c r="B21" s="38" t="s">
        <v>116</v>
      </c>
      <c r="C21" s="87" t="s">
        <v>117</v>
      </c>
      <c r="D21" s="87"/>
      <c r="E21" s="87"/>
      <c r="F21" s="87"/>
      <c r="G21" s="87"/>
    </row>
    <row r="22" spans="2:7" ht="31.5" customHeight="1" x14ac:dyDescent="0.2">
      <c r="B22" s="6" t="s">
        <v>118</v>
      </c>
      <c r="C22" s="88" t="s">
        <v>119</v>
      </c>
      <c r="D22" s="88"/>
      <c r="E22" s="88"/>
      <c r="F22" s="88"/>
      <c r="G22" s="88"/>
    </row>
    <row r="23" spans="2:7" ht="31.5" customHeight="1" x14ac:dyDescent="0.2">
      <c r="B23" s="38" t="s">
        <v>120</v>
      </c>
      <c r="C23" s="87" t="s">
        <v>121</v>
      </c>
      <c r="D23" s="87"/>
      <c r="E23" s="87"/>
      <c r="F23" s="87"/>
      <c r="G23" s="87"/>
    </row>
    <row r="24" spans="2:7" ht="31.5" customHeight="1" x14ac:dyDescent="0.2">
      <c r="B24" s="6" t="s">
        <v>122</v>
      </c>
      <c r="C24" s="88" t="s">
        <v>123</v>
      </c>
      <c r="D24" s="88"/>
      <c r="E24" s="88"/>
      <c r="F24" s="88"/>
      <c r="G24" s="88"/>
    </row>
  </sheetData>
  <mergeCells count="7">
    <mergeCell ref="C23:G23"/>
    <mergeCell ref="C24:G24"/>
    <mergeCell ref="B1:G1"/>
    <mergeCell ref="B2:G2"/>
    <mergeCell ref="B20:G20"/>
    <mergeCell ref="C21:G21"/>
    <mergeCell ref="C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2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32" customWidth="1"/>
    <col min="3" max="6" width="22" customWidth="1"/>
    <col min="7" max="7" width="2" customWidth="1"/>
  </cols>
  <sheetData>
    <row r="1" spans="2:6" ht="48" customHeight="1" x14ac:dyDescent="0.2">
      <c r="B1" s="93" t="s">
        <v>124</v>
      </c>
      <c r="C1" s="93"/>
      <c r="D1" s="93"/>
      <c r="E1" s="93"/>
      <c r="F1" s="93"/>
    </row>
    <row r="2" spans="2:6" ht="15" customHeight="1" x14ac:dyDescent="0.2">
      <c r="B2" s="83" t="s">
        <v>125</v>
      </c>
      <c r="C2" s="83"/>
      <c r="D2" s="83"/>
      <c r="E2" s="83"/>
      <c r="F2" s="83"/>
    </row>
    <row r="4" spans="2:6" x14ac:dyDescent="0.2">
      <c r="B4" s="90" t="s">
        <v>126</v>
      </c>
      <c r="C4" s="90"/>
      <c r="D4" s="90"/>
      <c r="E4" s="90"/>
      <c r="F4" s="90"/>
    </row>
    <row r="5" spans="2:6" ht="15" customHeight="1" x14ac:dyDescent="0.2">
      <c r="B5" s="88" t="s">
        <v>127</v>
      </c>
      <c r="C5" s="88"/>
      <c r="D5" s="88"/>
      <c r="E5" s="88"/>
      <c r="F5" s="88"/>
    </row>
    <row r="6" spans="2:6" ht="15" customHeight="1" x14ac:dyDescent="0.2">
      <c r="B6" s="88" t="s">
        <v>128</v>
      </c>
      <c r="C6" s="88"/>
      <c r="D6" s="88"/>
      <c r="E6" s="88"/>
      <c r="F6" s="88"/>
    </row>
    <row r="7" spans="2:6" ht="15" customHeight="1" x14ac:dyDescent="0.2">
      <c r="B7" s="88" t="s">
        <v>129</v>
      </c>
      <c r="C7" s="88"/>
      <c r="D7" s="88"/>
      <c r="E7" s="88"/>
      <c r="F7" s="88"/>
    </row>
    <row r="8" spans="2:6" ht="15" customHeight="1" x14ac:dyDescent="0.2">
      <c r="B8" s="88" t="s">
        <v>130</v>
      </c>
      <c r="C8" s="88"/>
      <c r="D8" s="88"/>
      <c r="E8" s="88"/>
      <c r="F8" s="88"/>
    </row>
    <row r="9" spans="2:6" ht="15" customHeight="1" x14ac:dyDescent="0.2">
      <c r="B9" s="88" t="s">
        <v>131</v>
      </c>
      <c r="C9" s="88"/>
      <c r="D9" s="88"/>
      <c r="E9" s="88"/>
      <c r="F9" s="88"/>
    </row>
    <row r="11" spans="2:6" x14ac:dyDescent="0.2">
      <c r="B11" s="91" t="s">
        <v>132</v>
      </c>
      <c r="C11" s="91"/>
      <c r="D11" s="91"/>
      <c r="E11" s="91"/>
      <c r="F11" s="91"/>
    </row>
    <row r="12" spans="2:6" ht="15.75" customHeight="1" x14ac:dyDescent="0.2">
      <c r="B12" s="39" t="s">
        <v>133</v>
      </c>
      <c r="C12" s="39" t="s">
        <v>134</v>
      </c>
      <c r="D12" s="39"/>
      <c r="E12" s="39" t="s">
        <v>135</v>
      </c>
      <c r="F12" s="39"/>
    </row>
    <row r="13" spans="2:6" ht="15" customHeight="1" x14ac:dyDescent="0.2">
      <c r="B13" s="40" t="s">
        <v>136</v>
      </c>
      <c r="C13" s="41" t="s">
        <v>137</v>
      </c>
      <c r="D13" s="41"/>
      <c r="E13" s="41" t="s">
        <v>138</v>
      </c>
      <c r="F13" s="41"/>
    </row>
    <row r="14" spans="2:6" ht="15" customHeight="1" x14ac:dyDescent="0.2">
      <c r="B14" s="42" t="s">
        <v>139</v>
      </c>
      <c r="C14" s="43" t="s">
        <v>140</v>
      </c>
      <c r="D14" s="43"/>
      <c r="E14" s="43" t="s">
        <v>141</v>
      </c>
      <c r="F14" s="43"/>
    </row>
    <row r="15" spans="2:6" ht="15" customHeight="1" x14ac:dyDescent="0.2">
      <c r="B15" s="44" t="s">
        <v>142</v>
      </c>
      <c r="C15" s="45" t="s">
        <v>143</v>
      </c>
      <c r="D15" s="45"/>
      <c r="E15" s="45" t="s">
        <v>144</v>
      </c>
      <c r="F15" s="45"/>
    </row>
    <row r="16" spans="2:6" ht="15" customHeight="1" x14ac:dyDescent="0.2">
      <c r="B16" s="42" t="s">
        <v>145</v>
      </c>
      <c r="C16" s="43" t="s">
        <v>146</v>
      </c>
      <c r="D16" s="43"/>
      <c r="E16" s="43" t="s">
        <v>147</v>
      </c>
      <c r="F16" s="43"/>
    </row>
    <row r="17" spans="2:6" ht="15" customHeight="1" x14ac:dyDescent="0.2">
      <c r="B17" s="44" t="s">
        <v>148</v>
      </c>
      <c r="C17" s="45" t="s">
        <v>149</v>
      </c>
      <c r="D17" s="45"/>
      <c r="E17" s="45" t="s">
        <v>150</v>
      </c>
      <c r="F17" s="45"/>
    </row>
    <row r="18" spans="2:6" ht="15" customHeight="1" x14ac:dyDescent="0.2">
      <c r="B18" s="42" t="s">
        <v>151</v>
      </c>
      <c r="C18" s="43" t="s">
        <v>152</v>
      </c>
      <c r="D18" s="43"/>
      <c r="E18" s="43" t="s">
        <v>153</v>
      </c>
      <c r="F18" s="43"/>
    </row>
    <row r="19" spans="2:6" ht="15" customHeight="1" x14ac:dyDescent="0.2">
      <c r="B19" s="44" t="s">
        <v>154</v>
      </c>
      <c r="C19" s="46" t="s">
        <v>155</v>
      </c>
      <c r="D19" s="46"/>
      <c r="E19" s="46" t="s">
        <v>156</v>
      </c>
      <c r="F19" s="46"/>
    </row>
    <row r="20" spans="2:6" ht="15" customHeight="1" x14ac:dyDescent="0.2">
      <c r="B20" s="42" t="s">
        <v>157</v>
      </c>
      <c r="C20" s="47" t="s">
        <v>158</v>
      </c>
      <c r="D20" s="47"/>
      <c r="E20" s="47" t="s">
        <v>159</v>
      </c>
      <c r="F20" s="47"/>
    </row>
    <row r="22" spans="2:6" ht="12.75" customHeight="1" x14ac:dyDescent="0.2">
      <c r="B22" s="92" t="s">
        <v>160</v>
      </c>
      <c r="C22" s="92"/>
      <c r="D22" s="92"/>
      <c r="E22" s="92"/>
      <c r="F22" s="92"/>
    </row>
  </sheetData>
  <mergeCells count="10">
    <mergeCell ref="B1:F1"/>
    <mergeCell ref="B2:F2"/>
    <mergeCell ref="B4:F4"/>
    <mergeCell ref="B5:F5"/>
    <mergeCell ref="B6:F6"/>
    <mergeCell ref="B7:F7"/>
    <mergeCell ref="B8:F8"/>
    <mergeCell ref="B9:F9"/>
    <mergeCell ref="B11:F11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0" customWidth="1"/>
    <col min="3" max="4" width="20" customWidth="1"/>
    <col min="5" max="5" width="26" customWidth="1"/>
    <col min="6" max="6" width="2" customWidth="1"/>
  </cols>
  <sheetData>
    <row r="1" spans="2:5" ht="42" customHeight="1" x14ac:dyDescent="0.2">
      <c r="B1" s="94" t="s">
        <v>161</v>
      </c>
      <c r="C1" s="94"/>
      <c r="D1" s="94"/>
      <c r="E1" s="94"/>
    </row>
    <row r="2" spans="2:5" ht="13.5" customHeight="1" x14ac:dyDescent="0.2">
      <c r="B2" s="83" t="s">
        <v>162</v>
      </c>
      <c r="C2" s="83"/>
      <c r="D2" s="83"/>
      <c r="E2" s="83"/>
    </row>
    <row r="4" spans="2:5" ht="18" customHeight="1" x14ac:dyDescent="0.2">
      <c r="B4" s="29" t="s">
        <v>133</v>
      </c>
      <c r="C4" s="29" t="s">
        <v>134</v>
      </c>
      <c r="D4" s="29" t="s">
        <v>135</v>
      </c>
      <c r="E4" s="29" t="s">
        <v>163</v>
      </c>
    </row>
    <row r="5" spans="2:5" ht="56" x14ac:dyDescent="0.2">
      <c r="B5" s="40" t="s">
        <v>164</v>
      </c>
      <c r="C5" s="48">
        <v>5000</v>
      </c>
      <c r="D5" s="48">
        <v>10000</v>
      </c>
      <c r="E5" s="49" t="s">
        <v>165</v>
      </c>
    </row>
    <row r="6" spans="2:5" ht="56" x14ac:dyDescent="0.2">
      <c r="B6" s="50" t="s">
        <v>166</v>
      </c>
      <c r="C6" s="51">
        <v>7500</v>
      </c>
      <c r="D6" s="51">
        <v>25000</v>
      </c>
      <c r="E6" s="7" t="s">
        <v>167</v>
      </c>
    </row>
    <row r="7" spans="2:5" ht="56" x14ac:dyDescent="0.2">
      <c r="B7" s="40" t="s">
        <v>168</v>
      </c>
      <c r="C7" s="48">
        <v>2500</v>
      </c>
      <c r="D7" s="48">
        <v>7500</v>
      </c>
      <c r="E7" s="49" t="s">
        <v>169</v>
      </c>
    </row>
    <row r="8" spans="2:5" ht="42" x14ac:dyDescent="0.2">
      <c r="B8" s="50" t="s">
        <v>170</v>
      </c>
      <c r="C8" s="52">
        <v>0</v>
      </c>
      <c r="D8" s="51">
        <v>15000</v>
      </c>
      <c r="E8" s="7" t="s">
        <v>171</v>
      </c>
    </row>
    <row r="9" spans="2:5" ht="21.75" customHeight="1" x14ac:dyDescent="0.2">
      <c r="B9" s="2" t="s">
        <v>172</v>
      </c>
      <c r="C9" s="53">
        <f>SUM(C5:C8)</f>
        <v>15000</v>
      </c>
      <c r="D9" s="53">
        <f>SUM(D5:D8)</f>
        <v>57500</v>
      </c>
    </row>
  </sheetData>
  <mergeCells count="2">
    <mergeCell ref="B1:E1"/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3"/>
  <sheetViews>
    <sheetView showGridLines="0" zoomScaleNormal="100" workbookViewId="0">
      <selection activeCell="A6" sqref="A6:XFD6"/>
    </sheetView>
  </sheetViews>
  <sheetFormatPr baseColWidth="10" defaultColWidth="8.6640625" defaultRowHeight="15" x14ac:dyDescent="0.2"/>
  <cols>
    <col min="1" max="1" width="2" customWidth="1"/>
    <col min="2" max="2" width="34" customWidth="1"/>
    <col min="3" max="4" width="18" customWidth="1"/>
    <col min="5" max="5" width="20" customWidth="1"/>
    <col min="6" max="6" width="24" customWidth="1"/>
    <col min="7" max="7" width="2" customWidth="1"/>
  </cols>
  <sheetData>
    <row r="1" spans="2:6" ht="42" customHeight="1" x14ac:dyDescent="0.2">
      <c r="B1" s="94" t="s">
        <v>173</v>
      </c>
      <c r="C1" s="94"/>
      <c r="D1" s="94"/>
      <c r="E1" s="94"/>
      <c r="F1" s="94"/>
    </row>
    <row r="2" spans="2:6" ht="13.5" customHeight="1" x14ac:dyDescent="0.2">
      <c r="B2" s="83" t="s">
        <v>174</v>
      </c>
      <c r="C2" s="83"/>
      <c r="D2" s="83"/>
      <c r="E2" s="83"/>
      <c r="F2" s="83"/>
    </row>
    <row r="4" spans="2:6" ht="18" customHeight="1" x14ac:dyDescent="0.2">
      <c r="B4" s="29" t="s">
        <v>175</v>
      </c>
      <c r="C4" s="29" t="s">
        <v>176</v>
      </c>
      <c r="D4" s="29" t="s">
        <v>177</v>
      </c>
      <c r="E4" s="29" t="s">
        <v>135</v>
      </c>
      <c r="F4" s="29" t="s">
        <v>178</v>
      </c>
    </row>
    <row r="5" spans="2:6" ht="28" x14ac:dyDescent="0.2">
      <c r="B5" s="40" t="s">
        <v>179</v>
      </c>
      <c r="C5" s="54" t="s">
        <v>180</v>
      </c>
      <c r="D5" s="54" t="s">
        <v>181</v>
      </c>
      <c r="E5" s="54" t="s">
        <v>182</v>
      </c>
      <c r="F5" s="49"/>
    </row>
    <row r="6" spans="2:6" ht="28" x14ac:dyDescent="0.2">
      <c r="B6" s="42" t="s">
        <v>183</v>
      </c>
      <c r="C6" s="55">
        <v>2500</v>
      </c>
      <c r="D6" s="55">
        <v>6500</v>
      </c>
      <c r="E6" s="55">
        <v>15000</v>
      </c>
      <c r="F6" s="7" t="s">
        <v>184</v>
      </c>
    </row>
    <row r="7" spans="2:6" x14ac:dyDescent="0.2">
      <c r="B7" s="44" t="s">
        <v>185</v>
      </c>
      <c r="C7" s="56">
        <f>C6*12*0.9</f>
        <v>27000</v>
      </c>
      <c r="D7" s="56">
        <f>D6*12*0.9</f>
        <v>70200</v>
      </c>
      <c r="E7" s="56">
        <f>E6*12*0.9</f>
        <v>162000</v>
      </c>
      <c r="F7" s="49" t="s">
        <v>186</v>
      </c>
    </row>
    <row r="8" spans="2:6" ht="28" x14ac:dyDescent="0.2">
      <c r="B8" s="42" t="s">
        <v>187</v>
      </c>
      <c r="C8" s="57">
        <v>15</v>
      </c>
      <c r="D8" s="57">
        <v>50</v>
      </c>
      <c r="E8" s="58" t="s">
        <v>188</v>
      </c>
      <c r="F8" s="7" t="s">
        <v>189</v>
      </c>
    </row>
    <row r="9" spans="2:6" x14ac:dyDescent="0.2">
      <c r="B9" s="44" t="s">
        <v>148</v>
      </c>
      <c r="C9" s="54" t="s">
        <v>190</v>
      </c>
      <c r="D9" s="54" t="s">
        <v>191</v>
      </c>
      <c r="E9" s="54" t="s">
        <v>192</v>
      </c>
      <c r="F9" s="49" t="s">
        <v>193</v>
      </c>
    </row>
    <row r="10" spans="2:6" ht="28" x14ac:dyDescent="0.2">
      <c r="B10" s="42" t="s">
        <v>194</v>
      </c>
      <c r="C10" s="55">
        <v>30</v>
      </c>
      <c r="D10" s="55">
        <v>22</v>
      </c>
      <c r="E10" s="55">
        <v>15</v>
      </c>
      <c r="F10" s="7" t="s">
        <v>195</v>
      </c>
    </row>
    <row r="11" spans="2:6" ht="28" x14ac:dyDescent="0.2">
      <c r="B11" s="44" t="s">
        <v>145</v>
      </c>
      <c r="C11" s="54" t="s">
        <v>196</v>
      </c>
      <c r="D11" s="54" t="s">
        <v>197</v>
      </c>
      <c r="E11" s="54" t="s">
        <v>198</v>
      </c>
      <c r="F11" s="49" t="s">
        <v>199</v>
      </c>
    </row>
    <row r="12" spans="2:6" ht="28" x14ac:dyDescent="0.2">
      <c r="B12" s="42" t="s">
        <v>200</v>
      </c>
      <c r="C12" s="58" t="s">
        <v>201</v>
      </c>
      <c r="D12" s="58" t="s">
        <v>201</v>
      </c>
      <c r="E12" s="58" t="s">
        <v>201</v>
      </c>
      <c r="F12" s="7" t="s">
        <v>202</v>
      </c>
    </row>
    <row r="13" spans="2:6" ht="28" x14ac:dyDescent="0.2">
      <c r="B13" s="44" t="s">
        <v>203</v>
      </c>
      <c r="C13" s="54" t="s">
        <v>201</v>
      </c>
      <c r="D13" s="54" t="s">
        <v>201</v>
      </c>
      <c r="E13" s="54" t="s">
        <v>201</v>
      </c>
      <c r="F13" s="49" t="s">
        <v>204</v>
      </c>
    </row>
    <row r="14" spans="2:6" ht="28" x14ac:dyDescent="0.2">
      <c r="B14" s="42" t="s">
        <v>205</v>
      </c>
      <c r="C14" s="58" t="s">
        <v>201</v>
      </c>
      <c r="D14" s="58" t="s">
        <v>201</v>
      </c>
      <c r="E14" s="58" t="s">
        <v>201</v>
      </c>
      <c r="F14" s="7" t="s">
        <v>206</v>
      </c>
    </row>
    <row r="15" spans="2:6" ht="28" x14ac:dyDescent="0.2">
      <c r="B15" s="44" t="s">
        <v>207</v>
      </c>
      <c r="C15" s="54" t="s">
        <v>201</v>
      </c>
      <c r="D15" s="54" t="s">
        <v>201</v>
      </c>
      <c r="E15" s="54" t="s">
        <v>201</v>
      </c>
      <c r="F15" s="49" t="s">
        <v>208</v>
      </c>
    </row>
    <row r="16" spans="2:6" ht="28" x14ac:dyDescent="0.2">
      <c r="B16" s="42" t="s">
        <v>209</v>
      </c>
      <c r="C16" s="58" t="s">
        <v>33</v>
      </c>
      <c r="D16" s="58" t="s">
        <v>201</v>
      </c>
      <c r="E16" s="58" t="s">
        <v>201</v>
      </c>
      <c r="F16" s="7" t="s">
        <v>210</v>
      </c>
    </row>
    <row r="17" spans="2:6" x14ac:dyDescent="0.2">
      <c r="B17" s="44" t="s">
        <v>211</v>
      </c>
      <c r="C17" s="54" t="s">
        <v>33</v>
      </c>
      <c r="D17" s="54" t="s">
        <v>201</v>
      </c>
      <c r="E17" s="54" t="s">
        <v>201</v>
      </c>
      <c r="F17" s="49" t="s">
        <v>212</v>
      </c>
    </row>
    <row r="18" spans="2:6" x14ac:dyDescent="0.2">
      <c r="B18" s="42" t="s">
        <v>213</v>
      </c>
      <c r="C18" s="58" t="s">
        <v>33</v>
      </c>
      <c r="D18" s="58" t="s">
        <v>33</v>
      </c>
      <c r="E18" s="58" t="s">
        <v>201</v>
      </c>
      <c r="F18" s="7" t="s">
        <v>214</v>
      </c>
    </row>
    <row r="19" spans="2:6" x14ac:dyDescent="0.2">
      <c r="B19" s="44" t="s">
        <v>215</v>
      </c>
      <c r="C19" s="54" t="s">
        <v>33</v>
      </c>
      <c r="D19" s="54" t="s">
        <v>33</v>
      </c>
      <c r="E19" s="54" t="s">
        <v>201</v>
      </c>
      <c r="F19" s="49" t="s">
        <v>216</v>
      </c>
    </row>
    <row r="20" spans="2:6" ht="21.75" customHeight="1" x14ac:dyDescent="0.2">
      <c r="B20" s="42" t="s">
        <v>217</v>
      </c>
      <c r="C20" s="58" t="s">
        <v>218</v>
      </c>
      <c r="D20" s="58" t="s">
        <v>219</v>
      </c>
      <c r="E20" s="58" t="s">
        <v>220</v>
      </c>
      <c r="F20" s="7"/>
    </row>
    <row r="21" spans="2:6" ht="21.75" customHeight="1" x14ac:dyDescent="0.2">
      <c r="B21" s="44" t="s">
        <v>221</v>
      </c>
      <c r="C21" s="54" t="s">
        <v>222</v>
      </c>
      <c r="D21" s="54" t="s">
        <v>223</v>
      </c>
      <c r="E21" s="54" t="s">
        <v>224</v>
      </c>
      <c r="F21" s="49"/>
    </row>
    <row r="23" spans="2:6" ht="12.75" customHeight="1" x14ac:dyDescent="0.2">
      <c r="B23" s="81" t="s">
        <v>225</v>
      </c>
      <c r="C23" s="81"/>
      <c r="D23" s="81"/>
      <c r="E23" s="81"/>
      <c r="F23" s="81"/>
    </row>
  </sheetData>
  <mergeCells count="3">
    <mergeCell ref="B1:F1"/>
    <mergeCell ref="B2:F2"/>
    <mergeCell ref="B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34"/>
  <sheetViews>
    <sheetView showGridLines="0" topLeftCell="A13" zoomScaleNormal="100" workbookViewId="0">
      <selection activeCell="E10" sqref="E10"/>
    </sheetView>
  </sheetViews>
  <sheetFormatPr baseColWidth="10" defaultColWidth="8.6640625" defaultRowHeight="15" x14ac:dyDescent="0.2"/>
  <cols>
    <col min="1" max="1" width="2" customWidth="1"/>
    <col min="2" max="2" width="40" customWidth="1"/>
    <col min="3" max="4" width="20" customWidth="1"/>
    <col min="5" max="5" width="42.83203125" customWidth="1"/>
    <col min="6" max="6" width="2" customWidth="1"/>
  </cols>
  <sheetData>
    <row r="1" spans="2:5" ht="42" customHeight="1" x14ac:dyDescent="0.2">
      <c r="B1" s="95" t="s">
        <v>226</v>
      </c>
      <c r="C1" s="95"/>
      <c r="D1" s="95"/>
      <c r="E1" s="95"/>
    </row>
    <row r="2" spans="2:5" ht="13.5" customHeight="1" x14ac:dyDescent="0.2">
      <c r="B2" s="83" t="s">
        <v>227</v>
      </c>
      <c r="C2" s="83"/>
      <c r="D2" s="83"/>
      <c r="E2" s="83"/>
    </row>
    <row r="4" spans="2:5" ht="18" customHeight="1" x14ac:dyDescent="0.2">
      <c r="B4" s="29" t="s">
        <v>228</v>
      </c>
      <c r="C4" s="29" t="s">
        <v>134</v>
      </c>
      <c r="D4" s="29" t="s">
        <v>135</v>
      </c>
      <c r="E4" s="29" t="s">
        <v>178</v>
      </c>
    </row>
    <row r="5" spans="2:5" ht="15.75" customHeight="1" x14ac:dyDescent="0.2">
      <c r="B5" s="83" t="s">
        <v>229</v>
      </c>
      <c r="C5" s="83"/>
      <c r="D5" s="83"/>
      <c r="E5" s="83"/>
    </row>
    <row r="6" spans="2:5" ht="56" x14ac:dyDescent="0.2">
      <c r="B6" s="44" t="s">
        <v>230</v>
      </c>
      <c r="C6" s="59">
        <v>50000</v>
      </c>
      <c r="D6" s="59">
        <v>200000</v>
      </c>
      <c r="E6" s="49" t="s">
        <v>231</v>
      </c>
    </row>
    <row r="7" spans="2:5" ht="56" x14ac:dyDescent="0.2">
      <c r="B7" s="42" t="s">
        <v>232</v>
      </c>
      <c r="C7" s="59">
        <v>6</v>
      </c>
      <c r="D7" s="59">
        <v>7</v>
      </c>
      <c r="E7" s="7" t="s">
        <v>233</v>
      </c>
    </row>
    <row r="8" spans="2:5" x14ac:dyDescent="0.2">
      <c r="B8" s="44" t="s">
        <v>234</v>
      </c>
      <c r="C8" s="60">
        <f>IF(C7&gt;0,C6/C7,0)</f>
        <v>8333.3333333333339</v>
      </c>
      <c r="D8" s="60">
        <f>IF(D7&gt;0,D6/D7,0)</f>
        <v>28571.428571428572</v>
      </c>
      <c r="E8" s="49" t="s">
        <v>235</v>
      </c>
    </row>
    <row r="9" spans="2:5" x14ac:dyDescent="0.2">
      <c r="B9" s="83" t="s">
        <v>236</v>
      </c>
      <c r="C9" s="83"/>
      <c r="D9" s="83"/>
      <c r="E9" s="83"/>
    </row>
    <row r="10" spans="2:5" ht="56" x14ac:dyDescent="0.2">
      <c r="B10" s="44" t="s">
        <v>237</v>
      </c>
      <c r="C10" s="61">
        <v>0.18</v>
      </c>
      <c r="D10" s="61">
        <v>0.2</v>
      </c>
      <c r="E10" s="49" t="s">
        <v>238</v>
      </c>
    </row>
    <row r="11" spans="2:5" ht="56" x14ac:dyDescent="0.2">
      <c r="B11" s="42" t="s">
        <v>239</v>
      </c>
      <c r="C11" s="61">
        <v>0.13</v>
      </c>
      <c r="D11" s="61">
        <v>0.15</v>
      </c>
      <c r="E11" s="7" t="s">
        <v>240</v>
      </c>
    </row>
    <row r="12" spans="2:5" ht="42" x14ac:dyDescent="0.2">
      <c r="B12" s="44" t="s">
        <v>241</v>
      </c>
      <c r="C12" s="61">
        <v>0.1</v>
      </c>
      <c r="D12" s="61">
        <v>0.12</v>
      </c>
      <c r="E12" s="49" t="s">
        <v>242</v>
      </c>
    </row>
    <row r="13" spans="2:5" ht="28" x14ac:dyDescent="0.2">
      <c r="B13" s="42" t="s">
        <v>243</v>
      </c>
      <c r="C13" s="61">
        <v>0.05</v>
      </c>
      <c r="D13" s="61">
        <v>0.06</v>
      </c>
      <c r="E13" s="7" t="s">
        <v>244</v>
      </c>
    </row>
    <row r="14" spans="2:5" ht="42" x14ac:dyDescent="0.2">
      <c r="B14" s="44" t="s">
        <v>245</v>
      </c>
      <c r="C14" s="61">
        <v>0.06</v>
      </c>
      <c r="D14" s="61">
        <v>0.08</v>
      </c>
      <c r="E14" s="49" t="s">
        <v>246</v>
      </c>
    </row>
    <row r="15" spans="2:5" ht="19.5" customHeight="1" x14ac:dyDescent="0.2">
      <c r="B15" s="62" t="s">
        <v>247</v>
      </c>
      <c r="C15" s="63">
        <f>SUM(C10:C14)</f>
        <v>0.52</v>
      </c>
      <c r="D15" s="63">
        <f>SUM(D10:D14)</f>
        <v>0.61</v>
      </c>
      <c r="E15" s="64" t="s">
        <v>248</v>
      </c>
    </row>
    <row r="16" spans="2:5" ht="19.5" customHeight="1" x14ac:dyDescent="0.2">
      <c r="B16" s="62" t="s">
        <v>249</v>
      </c>
      <c r="C16" s="65">
        <f>C15*C6</f>
        <v>26000</v>
      </c>
      <c r="D16" s="65">
        <f>D15*D6</f>
        <v>122000</v>
      </c>
      <c r="E16" s="64" t="s">
        <v>250</v>
      </c>
    </row>
    <row r="17" spans="2:5" ht="28" x14ac:dyDescent="0.2">
      <c r="B17" s="42" t="s">
        <v>251</v>
      </c>
      <c r="C17" s="66">
        <v>0.65</v>
      </c>
      <c r="D17" s="66">
        <v>0.7</v>
      </c>
      <c r="E17" s="7" t="s">
        <v>252</v>
      </c>
    </row>
    <row r="18" spans="2:5" ht="19.5" customHeight="1" x14ac:dyDescent="0.2">
      <c r="B18" s="67" t="s">
        <v>253</v>
      </c>
      <c r="C18" s="68">
        <f>C16*C17</f>
        <v>16900</v>
      </c>
      <c r="D18" s="68">
        <f>D16*D17</f>
        <v>85400</v>
      </c>
      <c r="E18" s="69" t="s">
        <v>254</v>
      </c>
    </row>
    <row r="20" spans="2:5" ht="15.75" customHeight="1" x14ac:dyDescent="0.2">
      <c r="B20" s="83" t="s">
        <v>255</v>
      </c>
      <c r="C20" s="83"/>
      <c r="D20" s="83"/>
      <c r="E20" s="83"/>
    </row>
    <row r="21" spans="2:5" ht="28" x14ac:dyDescent="0.2">
      <c r="B21" s="42" t="s">
        <v>256</v>
      </c>
      <c r="C21" s="59">
        <v>0.5</v>
      </c>
      <c r="D21" s="59">
        <v>0.6</v>
      </c>
      <c r="E21" s="7" t="s">
        <v>257</v>
      </c>
    </row>
    <row r="22" spans="2:5" ht="18" customHeight="1" x14ac:dyDescent="0.2">
      <c r="B22" s="44" t="s">
        <v>258</v>
      </c>
      <c r="C22" s="59">
        <v>0.8</v>
      </c>
      <c r="D22" s="59">
        <v>0.85</v>
      </c>
      <c r="E22" s="49" t="s">
        <v>259</v>
      </c>
    </row>
    <row r="23" spans="2:5" ht="19.5" customHeight="1" x14ac:dyDescent="0.2">
      <c r="B23" s="67" t="s">
        <v>260</v>
      </c>
      <c r="C23" s="68">
        <f>C6*C21*C22*0.9</f>
        <v>18000</v>
      </c>
      <c r="D23" s="68">
        <f>D6*D21*D22*0.9</f>
        <v>91800</v>
      </c>
      <c r="E23" s="69" t="s">
        <v>261</v>
      </c>
    </row>
    <row r="25" spans="2:5" ht="15.75" customHeight="1" x14ac:dyDescent="0.2">
      <c r="B25" s="83" t="s">
        <v>262</v>
      </c>
      <c r="C25" s="83"/>
      <c r="D25" s="83"/>
      <c r="E25" s="83"/>
    </row>
    <row r="26" spans="2:5" ht="19.5" customHeight="1" x14ac:dyDescent="0.2">
      <c r="B26" s="67" t="s">
        <v>263</v>
      </c>
      <c r="C26" s="68">
        <f>C18+C23</f>
        <v>34900</v>
      </c>
      <c r="D26" s="68">
        <f>D18+D23</f>
        <v>177200</v>
      </c>
      <c r="E26" s="69" t="s">
        <v>264</v>
      </c>
    </row>
    <row r="27" spans="2:5" ht="18" customHeight="1" x14ac:dyDescent="0.2">
      <c r="B27" s="42" t="s">
        <v>265</v>
      </c>
      <c r="C27" s="70">
        <v>2500</v>
      </c>
      <c r="D27" s="70">
        <v>15000</v>
      </c>
      <c r="E27" s="7" t="s">
        <v>266</v>
      </c>
    </row>
    <row r="28" spans="2:5" ht="19.5" customHeight="1" x14ac:dyDescent="0.2">
      <c r="B28" s="67" t="s">
        <v>267</v>
      </c>
      <c r="C28" s="68">
        <f>C26-C27</f>
        <v>32400</v>
      </c>
      <c r="D28" s="68">
        <f>D26-D27</f>
        <v>162200</v>
      </c>
      <c r="E28" s="69" t="s">
        <v>268</v>
      </c>
    </row>
    <row r="29" spans="2:5" ht="19.5" customHeight="1" x14ac:dyDescent="0.2">
      <c r="B29" s="71" t="s">
        <v>269</v>
      </c>
      <c r="C29" s="72">
        <f>C28*12</f>
        <v>388800</v>
      </c>
      <c r="D29" s="72">
        <f>D28*12</f>
        <v>1946400</v>
      </c>
      <c r="E29" s="69"/>
    </row>
    <row r="30" spans="2:5" ht="19.5" customHeight="1" x14ac:dyDescent="0.2">
      <c r="B30" s="67" t="s">
        <v>270</v>
      </c>
      <c r="C30" s="73">
        <f>IF(C27&gt;0,C26/C27,"-")</f>
        <v>13.96</v>
      </c>
      <c r="D30" s="73">
        <f>IF(D27&gt;0,D26/D27,"-")</f>
        <v>11.813333333333333</v>
      </c>
      <c r="E30" s="69" t="s">
        <v>271</v>
      </c>
    </row>
    <row r="31" spans="2:5" ht="18" customHeight="1" x14ac:dyDescent="0.2">
      <c r="B31" s="42" t="s">
        <v>272</v>
      </c>
      <c r="C31" s="70">
        <v>15000</v>
      </c>
      <c r="D31" s="70">
        <v>57500</v>
      </c>
      <c r="E31" s="7" t="s">
        <v>273</v>
      </c>
    </row>
    <row r="32" spans="2:5" ht="19.5" customHeight="1" x14ac:dyDescent="0.2">
      <c r="B32" s="67" t="s">
        <v>274</v>
      </c>
      <c r="C32" s="74">
        <f>IF(C28&gt;0,C31/C28,"-")</f>
        <v>0.46296296296296297</v>
      </c>
      <c r="D32" s="74">
        <f>IF(D28&gt;0,D31/D28,"-")</f>
        <v>0.35450061652281134</v>
      </c>
      <c r="E32" s="69" t="s">
        <v>275</v>
      </c>
    </row>
    <row r="34" spans="2:5" ht="22.25" customHeight="1" x14ac:dyDescent="0.2">
      <c r="B34" s="81" t="s">
        <v>276</v>
      </c>
      <c r="C34" s="81"/>
      <c r="D34" s="81"/>
      <c r="E34" s="81"/>
    </row>
  </sheetData>
  <mergeCells count="7">
    <mergeCell ref="B25:E25"/>
    <mergeCell ref="B34:E34"/>
    <mergeCell ref="B1:E1"/>
    <mergeCell ref="B2:E2"/>
    <mergeCell ref="B5:E5"/>
    <mergeCell ref="B9:E9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10"/>
  <sheetViews>
    <sheetView showGridLines="0" tabSelected="1" zoomScaleNormal="100" workbookViewId="0"/>
  </sheetViews>
  <sheetFormatPr baseColWidth="10" defaultColWidth="8.6640625" defaultRowHeight="15" x14ac:dyDescent="0.2"/>
  <cols>
    <col min="1" max="1" width="2" customWidth="1"/>
    <col min="2" max="2" width="30" customWidth="1"/>
    <col min="3" max="5" width="26" customWidth="1"/>
    <col min="6" max="6" width="2" customWidth="1"/>
  </cols>
  <sheetData>
    <row r="1" spans="2:5" ht="39.75" customHeight="1" x14ac:dyDescent="0.2">
      <c r="B1" s="89" t="s">
        <v>277</v>
      </c>
      <c r="C1" s="89"/>
      <c r="D1" s="89"/>
      <c r="E1" s="89"/>
    </row>
    <row r="2" spans="2:5" ht="13.5" customHeight="1" x14ac:dyDescent="0.2">
      <c r="B2" s="83" t="s">
        <v>278</v>
      </c>
      <c r="C2" s="83"/>
      <c r="D2" s="83"/>
      <c r="E2" s="83"/>
    </row>
    <row r="4" spans="2:5" ht="18" customHeight="1" x14ac:dyDescent="0.2">
      <c r="B4" s="29" t="s">
        <v>279</v>
      </c>
      <c r="C4" s="29" t="s">
        <v>280</v>
      </c>
      <c r="D4" s="29" t="s">
        <v>281</v>
      </c>
      <c r="E4" s="29" t="s">
        <v>282</v>
      </c>
    </row>
    <row r="5" spans="2:5" ht="90" customHeight="1" x14ac:dyDescent="0.2">
      <c r="B5" s="75" t="s">
        <v>283</v>
      </c>
      <c r="C5" s="76" t="s">
        <v>284</v>
      </c>
      <c r="D5" s="77" t="s">
        <v>285</v>
      </c>
      <c r="E5" s="77" t="s">
        <v>286</v>
      </c>
    </row>
    <row r="6" spans="2:5" ht="90" customHeight="1" x14ac:dyDescent="0.2">
      <c r="B6" s="78" t="s">
        <v>287</v>
      </c>
      <c r="C6" s="76" t="s">
        <v>288</v>
      </c>
      <c r="D6" s="79" t="s">
        <v>289</v>
      </c>
      <c r="E6" s="79" t="s">
        <v>290</v>
      </c>
    </row>
    <row r="7" spans="2:5" ht="90" customHeight="1" x14ac:dyDescent="0.2">
      <c r="B7" s="75" t="s">
        <v>291</v>
      </c>
      <c r="C7" s="76" t="s">
        <v>292</v>
      </c>
      <c r="D7" s="77" t="s">
        <v>293</v>
      </c>
      <c r="E7" s="77" t="s">
        <v>294</v>
      </c>
    </row>
    <row r="8" spans="2:5" ht="90" customHeight="1" x14ac:dyDescent="0.2">
      <c r="B8" s="78" t="s">
        <v>295</v>
      </c>
      <c r="C8" s="76" t="s">
        <v>296</v>
      </c>
      <c r="D8" s="79" t="s">
        <v>297</v>
      </c>
      <c r="E8" s="79" t="s">
        <v>298</v>
      </c>
    </row>
    <row r="9" spans="2:5" ht="90" customHeight="1" x14ac:dyDescent="0.2">
      <c r="B9" s="75" t="s">
        <v>245</v>
      </c>
      <c r="C9" s="76" t="s">
        <v>299</v>
      </c>
      <c r="D9" s="77" t="s">
        <v>300</v>
      </c>
      <c r="E9" s="77" t="s">
        <v>301</v>
      </c>
    </row>
    <row r="10" spans="2:5" ht="90" customHeight="1" x14ac:dyDescent="0.2">
      <c r="B10" s="78" t="s">
        <v>302</v>
      </c>
      <c r="C10" s="76" t="s">
        <v>303</v>
      </c>
      <c r="D10" s="79" t="s">
        <v>304</v>
      </c>
      <c r="E10" s="79" t="s">
        <v>305</v>
      </c>
    </row>
  </sheetData>
  <mergeCells count="2">
    <mergeCell ref="B1:E1"/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LLM Cost Reference</vt:lpstr>
      <vt:lpstr>Provider Cost Comparison</vt:lpstr>
      <vt:lpstr>Summary</vt:lpstr>
      <vt:lpstr>One-Time Costs</vt:lpstr>
      <vt:lpstr>Recurring Pricing</vt:lpstr>
      <vt:lpstr>Token Savings ROI</vt:lpstr>
      <vt:lpstr>Token Coach Mechanics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Sandeep Diddi</cp:lastModifiedBy>
  <cp:revision>0</cp:revision>
  <dcterms:created xsi:type="dcterms:W3CDTF">2026-05-25T13:48:44Z</dcterms:created>
  <dcterms:modified xsi:type="dcterms:W3CDTF">2026-05-25T17:03:36Z</dcterms:modified>
  <dc:language>en-US</dc:language>
</cp:coreProperties>
</file>